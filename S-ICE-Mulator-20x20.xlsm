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lobalhonda-my.sharepoint.com/personal/pstecroix_na_honda_com/Documents/Desktop/"/>
    </mc:Choice>
  </mc:AlternateContent>
  <xr:revisionPtr revIDLastSave="826" documentId="8_{1202E9BA-FD5D-42EF-9B0D-2D124BBA9350}" xr6:coauthVersionLast="47" xr6:coauthVersionMax="47" xr10:uidLastSave="{9D870F3E-D516-45CC-8A5D-A453F5145E89}"/>
  <bookViews>
    <workbookView xWindow="-108" yWindow="-108" windowWidth="23256" windowHeight="12576" activeTab="2" xr2:uid="{267F51B1-2822-4672-A212-D0B31E6DFC40}"/>
  </bookViews>
  <sheets>
    <sheet name="Parameters" sheetId="1" r:id="rId1"/>
    <sheet name="Calculator" sheetId="4" r:id="rId2"/>
    <sheet name="Resul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" i="3" l="1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Y2" i="3"/>
  <c r="X1" i="3"/>
  <c r="V1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C7" i="4"/>
  <c r="D7" i="4"/>
  <c r="E7" i="4"/>
  <c r="F7" i="4"/>
  <c r="R7" i="4"/>
  <c r="S7" i="4"/>
  <c r="T7" i="4"/>
  <c r="C8" i="4"/>
  <c r="D8" i="4"/>
  <c r="E8" i="4"/>
  <c r="F8" i="4"/>
  <c r="R8" i="4"/>
  <c r="S8" i="4"/>
  <c r="T8" i="4"/>
  <c r="C9" i="4"/>
  <c r="D9" i="4"/>
  <c r="E9" i="4"/>
  <c r="F9" i="4"/>
  <c r="R9" i="4"/>
  <c r="S9" i="4"/>
  <c r="T9" i="4"/>
  <c r="C10" i="4"/>
  <c r="D10" i="4"/>
  <c r="E10" i="4"/>
  <c r="F10" i="4"/>
  <c r="R10" i="4"/>
  <c r="S10" i="4"/>
  <c r="T10" i="4"/>
  <c r="C11" i="4"/>
  <c r="D11" i="4"/>
  <c r="E11" i="4"/>
  <c r="F11" i="4"/>
  <c r="R11" i="4"/>
  <c r="S11" i="4"/>
  <c r="T11" i="4"/>
  <c r="C12" i="4"/>
  <c r="D12" i="4"/>
  <c r="E12" i="4"/>
  <c r="F12" i="4"/>
  <c r="R12" i="4"/>
  <c r="S12" i="4"/>
  <c r="T12" i="4"/>
  <c r="C13" i="4"/>
  <c r="D13" i="4"/>
  <c r="E13" i="4"/>
  <c r="F13" i="4"/>
  <c r="R13" i="4"/>
  <c r="S13" i="4"/>
  <c r="T13" i="4"/>
  <c r="C14" i="4"/>
  <c r="D14" i="4"/>
  <c r="E14" i="4"/>
  <c r="F14" i="4"/>
  <c r="R14" i="4"/>
  <c r="S14" i="4"/>
  <c r="T14" i="4"/>
  <c r="C15" i="4"/>
  <c r="D15" i="4"/>
  <c r="E15" i="4"/>
  <c r="F15" i="4"/>
  <c r="R15" i="4"/>
  <c r="S15" i="4"/>
  <c r="T15" i="4"/>
  <c r="C16" i="4"/>
  <c r="D16" i="4"/>
  <c r="E16" i="4"/>
  <c r="F16" i="4"/>
  <c r="Q16" i="4"/>
  <c r="R16" i="4"/>
  <c r="S16" i="4"/>
  <c r="T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C3" i="4"/>
  <c r="Q8" i="4" l="1"/>
  <c r="Q10" i="4"/>
  <c r="Q9" i="4"/>
  <c r="Q11" i="4"/>
  <c r="Q14" i="4"/>
  <c r="Q13" i="4"/>
  <c r="Q15" i="4"/>
  <c r="Q7" i="4"/>
  <c r="Q12" i="4"/>
  <c r="W2" i="3"/>
  <c r="B4" i="1"/>
  <c r="B7" i="1" s="1"/>
  <c r="G11" i="4" s="1"/>
  <c r="P11" i="4" l="1"/>
  <c r="M8" i="4"/>
  <c r="K14" i="4"/>
  <c r="K16" i="4"/>
  <c r="O11" i="4"/>
  <c r="G14" i="4"/>
  <c r="I8" i="4"/>
  <c r="O8" i="4"/>
  <c r="O7" i="4"/>
  <c r="P14" i="4"/>
  <c r="H14" i="4"/>
  <c r="G16" i="4"/>
  <c r="G9" i="4"/>
  <c r="M7" i="4"/>
  <c r="H11" i="4"/>
  <c r="K9" i="4"/>
  <c r="K11" i="4"/>
  <c r="H7" i="4"/>
  <c r="M14" i="4"/>
  <c r="K8" i="4"/>
  <c r="K10" i="4"/>
  <c r="O15" i="4"/>
  <c r="H13" i="4"/>
  <c r="G13" i="4"/>
  <c r="G15" i="4"/>
  <c r="I16" i="4"/>
  <c r="I9" i="4"/>
  <c r="I7" i="4"/>
  <c r="N8" i="4"/>
  <c r="N10" i="4"/>
  <c r="G8" i="4"/>
  <c r="K13" i="4"/>
  <c r="J8" i="4"/>
  <c r="N16" i="4"/>
  <c r="N11" i="4"/>
  <c r="G10" i="4"/>
  <c r="N14" i="4"/>
  <c r="O14" i="4"/>
  <c r="O12" i="4"/>
  <c r="M9" i="4"/>
  <c r="M12" i="4"/>
  <c r="I13" i="4"/>
  <c r="N15" i="4"/>
  <c r="M15" i="4"/>
  <c r="M13" i="4"/>
  <c r="O16" i="4"/>
  <c r="O10" i="4"/>
  <c r="J7" i="4"/>
  <c r="L12" i="4"/>
  <c r="P16" i="4"/>
  <c r="M16" i="4"/>
  <c r="N7" i="4"/>
  <c r="I15" i="4"/>
  <c r="H15" i="4"/>
  <c r="N12" i="4"/>
  <c r="J13" i="4"/>
  <c r="J10" i="4"/>
  <c r="L8" i="4"/>
  <c r="K7" i="4"/>
  <c r="P10" i="4"/>
  <c r="M10" i="4"/>
  <c r="H8" i="4"/>
  <c r="P15" i="4"/>
  <c r="J9" i="4"/>
  <c r="O13" i="4"/>
  <c r="P8" i="4"/>
  <c r="I14" i="4"/>
  <c r="L10" i="4"/>
  <c r="P12" i="4"/>
  <c r="H10" i="4"/>
  <c r="K15" i="4"/>
  <c r="N9" i="4"/>
  <c r="J11" i="4"/>
  <c r="G12" i="4"/>
  <c r="N13" i="4"/>
  <c r="I11" i="4"/>
  <c r="L16" i="4"/>
  <c r="H9" i="4"/>
  <c r="O9" i="4"/>
  <c r="L11" i="4"/>
  <c r="I12" i="4"/>
  <c r="L14" i="4"/>
  <c r="I10" i="4"/>
  <c r="P13" i="4"/>
  <c r="M11" i="4"/>
  <c r="J12" i="4"/>
  <c r="J15" i="4"/>
  <c r="L7" i="4"/>
  <c r="L15" i="4"/>
  <c r="P9" i="4"/>
  <c r="H12" i="4"/>
  <c r="K12" i="4"/>
  <c r="H16" i="4"/>
  <c r="P7" i="4"/>
  <c r="L9" i="4"/>
  <c r="J16" i="4"/>
  <c r="J14" i="4"/>
  <c r="L13" i="4"/>
  <c r="G7" i="4"/>
</calcChain>
</file>

<file path=xl/sharedStrings.xml><?xml version="1.0" encoding="utf-8"?>
<sst xmlns="http://schemas.openxmlformats.org/spreadsheetml/2006/main" count="13" uniqueCount="12">
  <si>
    <t>Time step</t>
  </si>
  <si>
    <t>Length</t>
  </si>
  <si>
    <t>Area</t>
  </si>
  <si>
    <t>s</t>
  </si>
  <si>
    <t>mm</t>
  </si>
  <si>
    <t>mm^2</t>
  </si>
  <si>
    <t>Cell parameters</t>
  </si>
  <si>
    <t>Water Temperature</t>
  </si>
  <si>
    <t>C</t>
  </si>
  <si>
    <t>Factor</t>
  </si>
  <si>
    <t>Water Parameter</t>
  </si>
  <si>
    <t>Total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</si>
</sst>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164" fontId="0" fillId="0" borderId="0" xfId="0" applyNumberFormat="1" applyBorder="1"/>
    <xf numFmtId="164" fontId="0" fillId="0" borderId="7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0" fontId="0" fillId="0" borderId="11" xfId="0" applyBorder="1"/>
    <xf numFmtId="0" fontId="0" fillId="0" borderId="12" xfId="0" applyBorder="1"/>
    <xf numFmtId="164" fontId="0" fillId="0" borderId="11" xfId="0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2" xfId="0" applyFill="1" applyBorder="1"/>
    <xf numFmtId="0" fontId="0" fillId="0" borderId="23" xfId="0" applyFill="1" applyBorder="1"/>
    <xf numFmtId="0" fontId="0" fillId="2" borderId="2" xfId="0" applyFill="1" applyBorder="1"/>
    <xf numFmtId="0" fontId="0" fillId="2" borderId="20" xfId="0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164" fontId="0" fillId="0" borderId="24" xfId="0" applyNumberFormat="1" applyBorder="1"/>
    <xf numFmtId="164" fontId="0" fillId="0" borderId="25" xfId="0" applyNumberFormat="1" applyBorder="1"/>
    <xf numFmtId="164" fontId="0" fillId="0" borderId="26" xfId="0" applyNumberFormat="1" applyBorder="1"/>
    <xf numFmtId="164" fontId="0" fillId="0" borderId="27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EE5FB-609B-44E9-9A69-DBB52A2A2888}">
  <sheetPr codeName="Sheet1"/>
  <dimension ref="A1:C7"/>
  <sheetViews>
    <sheetView workbookViewId="0">
      <selection sqref="A1:C1"/>
    </sheetView>
  </sheetViews>
  <sheetFormatPr defaultRowHeight="14.4" x14ac:dyDescent="0.3"/>
  <cols>
    <col min="1" max="1" width="17.33203125" bestFit="1" customWidth="1"/>
  </cols>
  <sheetData>
    <row r="1" spans="1:3" ht="15" thickBot="1" x14ac:dyDescent="0.35">
      <c r="A1" s="28" t="s">
        <v>6</v>
      </c>
      <c r="B1" s="29"/>
      <c r="C1" s="30"/>
    </row>
    <row r="2" spans="1:3" x14ac:dyDescent="0.3">
      <c r="A2" s="22" t="s">
        <v>0</v>
      </c>
      <c r="B2" s="21">
        <v>10</v>
      </c>
      <c r="C2" s="20" t="s">
        <v>3</v>
      </c>
    </row>
    <row r="3" spans="1:3" x14ac:dyDescent="0.3">
      <c r="A3" s="23" t="s">
        <v>1</v>
      </c>
      <c r="B3" s="3">
        <v>10</v>
      </c>
      <c r="C3" s="18" t="s">
        <v>4</v>
      </c>
    </row>
    <row r="4" spans="1:3" x14ac:dyDescent="0.3">
      <c r="A4" s="23" t="s">
        <v>2</v>
      </c>
      <c r="B4" s="26">
        <f>B3*B3</f>
        <v>100</v>
      </c>
      <c r="C4" s="18" t="s">
        <v>5</v>
      </c>
    </row>
    <row r="5" spans="1:3" x14ac:dyDescent="0.3">
      <c r="A5" s="23" t="s">
        <v>10</v>
      </c>
      <c r="B5" s="3">
        <v>0.55000000000000004</v>
      </c>
      <c r="C5" s="18"/>
    </row>
    <row r="6" spans="1:3" x14ac:dyDescent="0.3">
      <c r="A6" s="24" t="s">
        <v>7</v>
      </c>
      <c r="B6" s="3">
        <v>23</v>
      </c>
      <c r="C6" s="18" t="s">
        <v>8</v>
      </c>
    </row>
    <row r="7" spans="1:3" ht="15" thickBot="1" x14ac:dyDescent="0.35">
      <c r="A7" s="25" t="s">
        <v>9</v>
      </c>
      <c r="B7" s="27">
        <f>B5*B2/B4</f>
        <v>5.5E-2</v>
      </c>
      <c r="C7" s="19"/>
    </row>
  </sheetData>
  <mergeCells count="1">
    <mergeCell ref="A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816CA-F091-462F-91E9-972E49D97FE1}">
  <sheetPr codeName="Sheet2"/>
  <dimension ref="A1:V21"/>
  <sheetViews>
    <sheetView workbookViewId="0"/>
  </sheetViews>
  <sheetFormatPr defaultRowHeight="14.4" x14ac:dyDescent="0.3"/>
  <cols>
    <col min="1" max="1" width="3" bestFit="1" customWidth="1"/>
    <col min="2" max="21" width="3.6640625" customWidth="1"/>
  </cols>
  <sheetData>
    <row r="1" spans="1:22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f>Results!W1+Parameters!$B$2</f>
        <v>170</v>
      </c>
    </row>
    <row r="2" spans="1:22" x14ac:dyDescent="0.3">
      <c r="A2">
        <v>1</v>
      </c>
      <c r="B2">
        <v>23</v>
      </c>
      <c r="C2">
        <v>23</v>
      </c>
      <c r="D2">
        <v>23</v>
      </c>
      <c r="E2">
        <v>23</v>
      </c>
      <c r="F2">
        <v>23</v>
      </c>
      <c r="G2">
        <v>23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23</v>
      </c>
      <c r="O2">
        <v>23</v>
      </c>
      <c r="P2">
        <v>23</v>
      </c>
      <c r="Q2">
        <v>23</v>
      </c>
      <c r="R2">
        <v>23</v>
      </c>
      <c r="S2">
        <v>23</v>
      </c>
      <c r="T2">
        <v>23</v>
      </c>
      <c r="U2">
        <v>23</v>
      </c>
    </row>
    <row r="3" spans="1:22" x14ac:dyDescent="0.3">
      <c r="A3">
        <v>2</v>
      </c>
      <c r="B3">
        <v>23</v>
      </c>
      <c r="C3">
        <f>IF(Results!C3&gt;0,Parameters!$B$6,Parameters!$B$7*((Results!C2-Results!C3)+(Results!D3-Results!C3)+(Results!C4-Results!C3)+(Results!B3-Results!C3))+Results!C3)</f>
        <v>23</v>
      </c>
      <c r="D3">
        <f>IF(Results!D3&gt;0,Parameters!$B$6,Parameters!$B$7*((Results!D2-Results!D3)+(Results!E3-Results!D3)+(Results!D4-Results!D3)+(Results!C3-Results!D3))+Results!D3)</f>
        <v>23</v>
      </c>
      <c r="E3">
        <f>IF(Results!E3&gt;0,Parameters!$B$6,Parameters!$B$7*((Results!E2-Results!E3)+(Results!F3-Results!E3)+(Results!E4-Results!E3)+(Results!D3-Results!E3))+Results!E3)</f>
        <v>23</v>
      </c>
      <c r="F3">
        <f>IF(Results!F3&gt;0,Parameters!$B$6,Parameters!$B$7*((Results!F2-Results!F3)+(Results!G3-Results!F3)+(Results!F4-Results!F3)+(Results!E3-Results!F3))+Results!F3)</f>
        <v>23</v>
      </c>
      <c r="G3">
        <f>IF(Results!G3&gt;0,Parameters!$B$6,Parameters!$B$7*((Results!G2-Results!G3)+(Results!H3-Results!G3)+(Results!G4-Results!G3)+(Results!F3-Results!G3))+Results!G3)</f>
        <v>23</v>
      </c>
      <c r="H3">
        <f>IF(Results!H3&gt;0,Parameters!$B$6,Parameters!$B$7*((Results!H2-Results!H3)+(Results!I3-Results!H3)+(Results!H4-Results!H3)+(Results!G3-Results!H3))+Results!H3)</f>
        <v>23</v>
      </c>
      <c r="I3">
        <f>IF(Results!I3&gt;0,Parameters!$B$6,Parameters!$B$7*((Results!I2-Results!I3)+(Results!J3-Results!I3)+(Results!I4-Results!I3)+(Results!H3-Results!I3))+Results!I3)</f>
        <v>23</v>
      </c>
      <c r="J3">
        <f>IF(Results!J3&gt;0,Parameters!$B$6,Parameters!$B$7*((Results!J2-Results!J3)+(Results!K3-Results!J3)+(Results!J4-Results!J3)+(Results!I3-Results!J3))+Results!J3)</f>
        <v>23</v>
      </c>
      <c r="K3">
        <f>IF(Results!K3&gt;0,Parameters!$B$6,Parameters!$B$7*((Results!K2-Results!K3)+(Results!L3-Results!K3)+(Results!K4-Results!K3)+(Results!J3-Results!K3))+Results!K3)</f>
        <v>23</v>
      </c>
      <c r="L3">
        <f>IF(Results!L3&gt;0,Parameters!$B$6,Parameters!$B$7*((Results!L2-Results!L3)+(Results!M3-Results!L3)+(Results!L4-Results!L3)+(Results!K3-Results!L3))+Results!L3)</f>
        <v>23</v>
      </c>
      <c r="M3">
        <f>IF(Results!M3&gt;0,Parameters!$B$6,Parameters!$B$7*((Results!M2-Results!M3)+(Results!N3-Results!M3)+(Results!M4-Results!M3)+(Results!L3-Results!M3))+Results!M3)</f>
        <v>23</v>
      </c>
      <c r="N3">
        <f>IF(Results!N3&gt;0,Parameters!$B$6,Parameters!$B$7*((Results!N2-Results!N3)+(Results!O3-Results!N3)+(Results!N4-Results!N3)+(Results!M3-Results!N3))+Results!N3)</f>
        <v>23</v>
      </c>
      <c r="O3">
        <f>IF(Results!O3&gt;0,Parameters!$B$6,Parameters!$B$7*((Results!O2-Results!O3)+(Results!P3-Results!O3)+(Results!O4-Results!O3)+(Results!N3-Results!O3))+Results!O3)</f>
        <v>23</v>
      </c>
      <c r="P3">
        <f>IF(Results!P3&gt;0,Parameters!$B$6,Parameters!$B$7*((Results!P2-Results!P3)+(Results!Q3-Results!P3)+(Results!P4-Results!P3)+(Results!O3-Results!P3))+Results!P3)</f>
        <v>23</v>
      </c>
      <c r="Q3">
        <f>IF(Results!Q3&gt;0,Parameters!$B$6,Parameters!$B$7*((Results!Q2-Results!Q3)+(Results!R3-Results!Q3)+(Results!Q4-Results!Q3)+(Results!P3-Results!Q3))+Results!Q3)</f>
        <v>23</v>
      </c>
      <c r="R3">
        <f>IF(Results!R3&gt;0,Parameters!$B$6,Parameters!$B$7*((Results!R2-Results!R3)+(Results!S3-Results!R3)+(Results!R4-Results!R3)+(Results!Q3-Results!R3))+Results!R3)</f>
        <v>23</v>
      </c>
      <c r="S3">
        <f>IF(Results!S3&gt;0,Parameters!$B$6,Parameters!$B$7*((Results!S2-Results!S3)+(Results!T3-Results!S3)+(Results!S4-Results!S3)+(Results!R3-Results!S3))+Results!S3)</f>
        <v>23</v>
      </c>
      <c r="T3">
        <f>IF(Results!T3&gt;0,Parameters!$B$6,Parameters!$B$7*((Results!T2-Results!T3)+(Results!U3-Results!T3)+(Results!T4-Results!T3)+(Results!S3-Results!T3))+Results!T3)</f>
        <v>23</v>
      </c>
      <c r="U3">
        <v>23</v>
      </c>
    </row>
    <row r="4" spans="1:22" x14ac:dyDescent="0.3">
      <c r="A4">
        <v>3</v>
      </c>
      <c r="B4">
        <v>23</v>
      </c>
      <c r="C4">
        <f>IF(Results!C4&gt;0,Parameters!$B$6,Parameters!$B$7*((Results!C3-Results!C4)+(Results!D4-Results!C4)+(Results!C5-Results!C4)+(Results!B4-Results!C4))+Results!C4)</f>
        <v>23</v>
      </c>
      <c r="D4">
        <f>IF(Results!D4&gt;0,Parameters!$B$6,Parameters!$B$7*((Results!D3-Results!D4)+(Results!E4-Results!D4)+(Results!D5-Results!D4)+(Results!C4-Results!D4))+Results!D4)</f>
        <v>23</v>
      </c>
      <c r="E4">
        <f>IF(Results!E4&gt;0,Parameters!$B$6,Parameters!$B$7*((Results!E3-Results!E4)+(Results!F4-Results!E4)+(Results!E5-Results!E4)+(Results!D4-Results!E4))+Results!E4)</f>
        <v>23</v>
      </c>
      <c r="F4">
        <f>IF(Results!F4&gt;0,Parameters!$B$6,Parameters!$B$7*((Results!F3-Results!F4)+(Results!G4-Results!F4)+(Results!F5-Results!F4)+(Results!E4-Results!F4))+Results!F4)</f>
        <v>23</v>
      </c>
      <c r="G4">
        <f>IF(Results!G4&gt;0,Parameters!$B$6,Parameters!$B$7*((Results!G3-Results!G4)+(Results!H4-Results!G4)+(Results!G5-Results!G4)+(Results!F4-Results!G4))+Results!G4)</f>
        <v>23</v>
      </c>
      <c r="H4">
        <f>IF(Results!H4&gt;0,Parameters!$B$6,Parameters!$B$7*((Results!H3-Results!H4)+(Results!I4-Results!H4)+(Results!H5-Results!H4)+(Results!G4-Results!H4))+Results!H4)</f>
        <v>23</v>
      </c>
      <c r="I4">
        <f>IF(Results!I4&gt;0,Parameters!$B$6,Parameters!$B$7*((Results!I3-Results!I4)+(Results!J4-Results!I4)+(Results!I5-Results!I4)+(Results!H4-Results!I4))+Results!I4)</f>
        <v>23</v>
      </c>
      <c r="J4">
        <f>IF(Results!J4&gt;0,Parameters!$B$6,Parameters!$B$7*((Results!J3-Results!J4)+(Results!K4-Results!J4)+(Results!J5-Results!J4)+(Results!I4-Results!J4))+Results!J4)</f>
        <v>23</v>
      </c>
      <c r="K4">
        <f>IF(Results!K4&gt;0,Parameters!$B$6,Parameters!$B$7*((Results!K3-Results!K4)+(Results!L4-Results!K4)+(Results!K5-Results!K4)+(Results!J4-Results!K4))+Results!K4)</f>
        <v>23</v>
      </c>
      <c r="L4">
        <f>IF(Results!L4&gt;0,Parameters!$B$6,Parameters!$B$7*((Results!L3-Results!L4)+(Results!M4-Results!L4)+(Results!L5-Results!L4)+(Results!K4-Results!L4))+Results!L4)</f>
        <v>23</v>
      </c>
      <c r="M4">
        <f>IF(Results!M4&gt;0,Parameters!$B$6,Parameters!$B$7*((Results!M3-Results!M4)+(Results!N4-Results!M4)+(Results!M5-Results!M4)+(Results!L4-Results!M4))+Results!M4)</f>
        <v>23</v>
      </c>
      <c r="N4">
        <f>IF(Results!N4&gt;0,Parameters!$B$6,Parameters!$B$7*((Results!N3-Results!N4)+(Results!O4-Results!N4)+(Results!N5-Results!N4)+(Results!M4-Results!N4))+Results!N4)</f>
        <v>23</v>
      </c>
      <c r="O4">
        <f>IF(Results!O4&gt;0,Parameters!$B$6,Parameters!$B$7*((Results!O3-Results!O4)+(Results!P4-Results!O4)+(Results!O5-Results!O4)+(Results!N4-Results!O4))+Results!O4)</f>
        <v>23</v>
      </c>
      <c r="P4">
        <f>IF(Results!P4&gt;0,Parameters!$B$6,Parameters!$B$7*((Results!P3-Results!P4)+(Results!Q4-Results!P4)+(Results!P5-Results!P4)+(Results!O4-Results!P4))+Results!P4)</f>
        <v>23</v>
      </c>
      <c r="Q4">
        <f>IF(Results!Q4&gt;0,Parameters!$B$6,Parameters!$B$7*((Results!Q3-Results!Q4)+(Results!R4-Results!Q4)+(Results!Q5-Results!Q4)+(Results!P4-Results!Q4))+Results!Q4)</f>
        <v>23</v>
      </c>
      <c r="R4">
        <f>IF(Results!R4&gt;0,Parameters!$B$6,Parameters!$B$7*((Results!R3-Results!R4)+(Results!S4-Results!R4)+(Results!R5-Results!R4)+(Results!Q4-Results!R4))+Results!R4)</f>
        <v>23</v>
      </c>
      <c r="S4">
        <f>IF(Results!S4&gt;0,Parameters!$B$6,Parameters!$B$7*((Results!S3-Results!S4)+(Results!T4-Results!S4)+(Results!S5-Results!S4)+(Results!R4-Results!S4))+Results!S4)</f>
        <v>23</v>
      </c>
      <c r="T4">
        <f>IF(Results!T4&gt;0,Parameters!$B$6,Parameters!$B$7*((Results!T3-Results!T4)+(Results!U4-Results!T4)+(Results!T5-Results!T4)+(Results!S4-Results!T4))+Results!T4)</f>
        <v>23</v>
      </c>
      <c r="U4">
        <v>23</v>
      </c>
    </row>
    <row r="5" spans="1:22" x14ac:dyDescent="0.3">
      <c r="A5">
        <v>4</v>
      </c>
      <c r="B5">
        <v>23</v>
      </c>
      <c r="C5">
        <f>IF(Results!C5&gt;0,Parameters!$B$6,Parameters!$B$7*((Results!C4-Results!C5)+(Results!D5-Results!C5)+(Results!C6-Results!C5)+(Results!B5-Results!C5))+Results!C5)</f>
        <v>23</v>
      </c>
      <c r="D5">
        <f>IF(Results!D5&gt;0,Parameters!$B$6,Parameters!$B$7*((Results!D4-Results!D5)+(Results!E5-Results!D5)+(Results!D6-Results!D5)+(Results!C5-Results!D5))+Results!D5)</f>
        <v>23</v>
      </c>
      <c r="E5">
        <f>IF(Results!E5&gt;0,Parameters!$B$6,Parameters!$B$7*((Results!E4-Results!E5)+(Results!F5-Results!E5)+(Results!E6-Results!E5)+(Results!D5-Results!E5))+Results!E5)</f>
        <v>23</v>
      </c>
      <c r="F5">
        <f>IF(Results!F5&gt;0,Parameters!$B$6,Parameters!$B$7*((Results!F4-Results!F5)+(Results!G5-Results!F5)+(Results!F6-Results!F5)+(Results!E5-Results!F5))+Results!F5)</f>
        <v>23</v>
      </c>
      <c r="G5">
        <f>IF(Results!G5&gt;0,Parameters!$B$6,Parameters!$B$7*((Results!G4-Results!G5)+(Results!H5-Results!G5)+(Results!G6-Results!G5)+(Results!F5-Results!G5))+Results!G5)</f>
        <v>23</v>
      </c>
      <c r="H5">
        <f>IF(Results!H5&gt;0,Parameters!$B$6,Parameters!$B$7*((Results!H4-Results!H5)+(Results!I5-Results!H5)+(Results!H6-Results!H5)+(Results!G5-Results!H5))+Results!H5)</f>
        <v>23</v>
      </c>
      <c r="I5">
        <f>IF(Results!I5&gt;0,Parameters!$B$6,Parameters!$B$7*((Results!I4-Results!I5)+(Results!J5-Results!I5)+(Results!I6-Results!I5)+(Results!H5-Results!I5))+Results!I5)</f>
        <v>23</v>
      </c>
      <c r="J5">
        <f>IF(Results!J5&gt;0,Parameters!$B$6,Parameters!$B$7*((Results!J4-Results!J5)+(Results!K5-Results!J5)+(Results!J6-Results!J5)+(Results!I5-Results!J5))+Results!J5)</f>
        <v>23</v>
      </c>
      <c r="K5">
        <f>IF(Results!K5&gt;0,Parameters!$B$6,Parameters!$B$7*((Results!K4-Results!K5)+(Results!L5-Results!K5)+(Results!K6-Results!K5)+(Results!J5-Results!K5))+Results!K5)</f>
        <v>23</v>
      </c>
      <c r="L5">
        <f>IF(Results!L5&gt;0,Parameters!$B$6,Parameters!$B$7*((Results!L4-Results!L5)+(Results!M5-Results!L5)+(Results!L6-Results!L5)+(Results!K5-Results!L5))+Results!L5)</f>
        <v>23</v>
      </c>
      <c r="M5">
        <f>IF(Results!M5&gt;0,Parameters!$B$6,Parameters!$B$7*((Results!M4-Results!M5)+(Results!N5-Results!M5)+(Results!M6-Results!M5)+(Results!L5-Results!M5))+Results!M5)</f>
        <v>23</v>
      </c>
      <c r="N5">
        <f>IF(Results!N5&gt;0,Parameters!$B$6,Parameters!$B$7*((Results!N4-Results!N5)+(Results!O5-Results!N5)+(Results!N6-Results!N5)+(Results!M5-Results!N5))+Results!N5)</f>
        <v>23</v>
      </c>
      <c r="O5">
        <f>IF(Results!O5&gt;0,Parameters!$B$6,Parameters!$B$7*((Results!O4-Results!O5)+(Results!P5-Results!O5)+(Results!O6-Results!O5)+(Results!N5-Results!O5))+Results!O5)</f>
        <v>23</v>
      </c>
      <c r="P5">
        <f>IF(Results!P5&gt;0,Parameters!$B$6,Parameters!$B$7*((Results!P4-Results!P5)+(Results!Q5-Results!P5)+(Results!P6-Results!P5)+(Results!O5-Results!P5))+Results!P5)</f>
        <v>23</v>
      </c>
      <c r="Q5">
        <f>IF(Results!Q5&gt;0,Parameters!$B$6,Parameters!$B$7*((Results!Q4-Results!Q5)+(Results!R5-Results!Q5)+(Results!Q6-Results!Q5)+(Results!P5-Results!Q5))+Results!Q5)</f>
        <v>23</v>
      </c>
      <c r="R5">
        <f>IF(Results!R5&gt;0,Parameters!$B$6,Parameters!$B$7*((Results!R4-Results!R5)+(Results!S5-Results!R5)+(Results!R6-Results!R5)+(Results!Q5-Results!R5))+Results!R5)</f>
        <v>23</v>
      </c>
      <c r="S5">
        <f>IF(Results!S5&gt;0,Parameters!$B$6,Parameters!$B$7*((Results!S4-Results!S5)+(Results!T5-Results!S5)+(Results!S6-Results!S5)+(Results!R5-Results!S5))+Results!S5)</f>
        <v>23</v>
      </c>
      <c r="T5">
        <f>IF(Results!T5&gt;0,Parameters!$B$6,Parameters!$B$7*((Results!T4-Results!T5)+(Results!U5-Results!T5)+(Results!T6-Results!T5)+(Results!S5-Results!T5))+Results!T5)</f>
        <v>23</v>
      </c>
      <c r="U5">
        <v>23</v>
      </c>
    </row>
    <row r="6" spans="1:22" x14ac:dyDescent="0.3">
      <c r="A6">
        <v>5</v>
      </c>
      <c r="B6">
        <v>23</v>
      </c>
      <c r="C6">
        <f>IF(Results!C6&gt;0,Parameters!$B$6,Parameters!$B$7*((Results!C5-Results!C6)+(Results!D6-Results!C6)+(Results!C7-Results!C6)+(Results!B6-Results!C6))+Results!C6)</f>
        <v>23</v>
      </c>
      <c r="D6">
        <f>IF(Results!D6&gt;0,Parameters!$B$6,Parameters!$B$7*((Results!D5-Results!D6)+(Results!E6-Results!D6)+(Results!D7-Results!D6)+(Results!C6-Results!D6))+Results!D6)</f>
        <v>23</v>
      </c>
      <c r="E6">
        <f>IF(Results!E6&gt;0,Parameters!$B$6,Parameters!$B$7*((Results!E5-Results!E6)+(Results!F6-Results!E6)+(Results!E7-Results!E6)+(Results!D6-Results!E6))+Results!E6)</f>
        <v>23</v>
      </c>
      <c r="F6">
        <f>IF(Results!F6&gt;0,Parameters!$B$6,Parameters!$B$7*((Results!F5-Results!F6)+(Results!G6-Results!F6)+(Results!F7-Results!F6)+(Results!E6-Results!F6))+Results!F6)</f>
        <v>23</v>
      </c>
      <c r="G6">
        <f>IF(Results!G6&gt;0,Parameters!$B$6,Parameters!$B$7*((Results!G5-Results!G6)+(Results!H6-Results!G6)+(Results!G7-Results!G6)+(Results!F6-Results!G6))+Results!G6)</f>
        <v>23</v>
      </c>
      <c r="H6">
        <f>IF(Results!H6&gt;0,Parameters!$B$6,Parameters!$B$7*((Results!H5-Results!H6)+(Results!I6-Results!H6)+(Results!H7-Results!H6)+(Results!G6-Results!H6))+Results!H6)</f>
        <v>23</v>
      </c>
      <c r="I6">
        <f>IF(Results!I6&gt;0,Parameters!$B$6,Parameters!$B$7*((Results!I5-Results!I6)+(Results!J6-Results!I6)+(Results!I7-Results!I6)+(Results!H6-Results!I6))+Results!I6)</f>
        <v>23</v>
      </c>
      <c r="J6">
        <f>IF(Results!J6&gt;0,Parameters!$B$6,Parameters!$B$7*((Results!J5-Results!J6)+(Results!K6-Results!J6)+(Results!J7-Results!J6)+(Results!I6-Results!J6))+Results!J6)</f>
        <v>23</v>
      </c>
      <c r="K6">
        <f>IF(Results!K6&gt;0,Parameters!$B$6,Parameters!$B$7*((Results!K5-Results!K6)+(Results!L6-Results!K6)+(Results!K7-Results!K6)+(Results!J6-Results!K6))+Results!K6)</f>
        <v>23</v>
      </c>
      <c r="L6">
        <f>IF(Results!L6&gt;0,Parameters!$B$6,Parameters!$B$7*((Results!L5-Results!L6)+(Results!M6-Results!L6)+(Results!L7-Results!L6)+(Results!K6-Results!L6))+Results!L6)</f>
        <v>23</v>
      </c>
      <c r="M6">
        <f>IF(Results!M6&gt;0,Parameters!$B$6,Parameters!$B$7*((Results!M5-Results!M6)+(Results!N6-Results!M6)+(Results!M7-Results!M6)+(Results!L6-Results!M6))+Results!M6)</f>
        <v>23</v>
      </c>
      <c r="N6">
        <f>IF(Results!N6&gt;0,Parameters!$B$6,Parameters!$B$7*((Results!N5-Results!N6)+(Results!O6-Results!N6)+(Results!N7-Results!N6)+(Results!M6-Results!N6))+Results!N6)</f>
        <v>23</v>
      </c>
      <c r="O6">
        <f>IF(Results!O6&gt;0,Parameters!$B$6,Parameters!$B$7*((Results!O5-Results!O6)+(Results!P6-Results!O6)+(Results!O7-Results!O6)+(Results!N6-Results!O6))+Results!O6)</f>
        <v>23</v>
      </c>
      <c r="P6">
        <f>IF(Results!P6&gt;0,Parameters!$B$6,Parameters!$B$7*((Results!P5-Results!P6)+(Results!Q6-Results!P6)+(Results!P7-Results!P6)+(Results!O6-Results!P6))+Results!P6)</f>
        <v>23</v>
      </c>
      <c r="Q6">
        <f>IF(Results!Q6&gt;0,Parameters!$B$6,Parameters!$B$7*((Results!Q5-Results!Q6)+(Results!R6-Results!Q6)+(Results!Q7-Results!Q6)+(Results!P6-Results!Q6))+Results!Q6)</f>
        <v>23</v>
      </c>
      <c r="R6">
        <f>IF(Results!R6&gt;0,Parameters!$B$6,Parameters!$B$7*((Results!R5-Results!R6)+(Results!S6-Results!R6)+(Results!R7-Results!R6)+(Results!Q6-Results!R6))+Results!R6)</f>
        <v>23</v>
      </c>
      <c r="S6">
        <f>IF(Results!S6&gt;0,Parameters!$B$6,Parameters!$B$7*((Results!S5-Results!S6)+(Results!T6-Results!S6)+(Results!S7-Results!S6)+(Results!R6-Results!S6))+Results!S6)</f>
        <v>23</v>
      </c>
      <c r="T6">
        <f>IF(Results!T6&gt;0,Parameters!$B$6,Parameters!$B$7*((Results!T5-Results!T6)+(Results!U6-Results!T6)+(Results!T7-Results!T6)+(Results!S6-Results!T6))+Results!T6)</f>
        <v>23</v>
      </c>
      <c r="U6">
        <v>23</v>
      </c>
    </row>
    <row r="7" spans="1:22" x14ac:dyDescent="0.3">
      <c r="A7">
        <v>6</v>
      </c>
      <c r="B7">
        <v>23</v>
      </c>
      <c r="C7">
        <f>IF(Results!C7&gt;0,Parameters!$B$6,Parameters!$B$7*((Results!C6-Results!C7)+(Results!D7-Results!C7)+(Results!C8-Results!C7)+(Results!B7-Results!C7))+Results!C7)</f>
        <v>23</v>
      </c>
      <c r="D7">
        <f>IF(Results!D7&gt;0,Parameters!$B$6,Parameters!$B$7*((Results!D6-Results!D7)+(Results!E7-Results!D7)+(Results!D8-Results!D7)+(Results!C7-Results!D7))+Results!D7)</f>
        <v>23</v>
      </c>
      <c r="E7">
        <f>IF(Results!E7&gt;0,Parameters!$B$6,Parameters!$B$7*((Results!E6-Results!E7)+(Results!F7-Results!E7)+(Results!E8-Results!E7)+(Results!D7-Results!E7))+Results!E7)</f>
        <v>23</v>
      </c>
      <c r="F7">
        <f>IF(Results!F7&gt;0,Parameters!$B$6,Parameters!$B$7*((Results!F6-Results!F7)+(Results!G7-Results!F7)+(Results!F8-Results!F7)+(Results!E7-Results!F7))+Results!F7)</f>
        <v>23</v>
      </c>
      <c r="G7">
        <f>IF(Results!G7&gt;0,Parameters!$B$6,Parameters!$B$7*((Results!G6-Results!G7)+(Results!H7-Results!G7)+(Results!G8-Results!G7)+(Results!F7-Results!G7))+Results!G7)</f>
        <v>23</v>
      </c>
      <c r="H7">
        <f>IF(Results!H7&gt;0,Parameters!$B$6,Parameters!$B$7*((Results!H6-Results!H7)+(Results!I7-Results!H7)+(Results!H8-Results!H7)+(Results!G7-Results!H7))+Results!H7)</f>
        <v>23</v>
      </c>
      <c r="I7">
        <f>IF(Results!I7&gt;0,Parameters!$B$6,Parameters!$B$7*((Results!I6-Results!I7)+(Results!J7-Results!I7)+(Results!I8-Results!I7)+(Results!H7-Results!I7))+Results!I7)</f>
        <v>23</v>
      </c>
      <c r="J7">
        <f>IF(Results!J7&gt;0,Parameters!$B$6,Parameters!$B$7*((Results!J6-Results!J7)+(Results!K7-Results!J7)+(Results!J8-Results!J7)+(Results!I7-Results!J7))+Results!J7)</f>
        <v>23</v>
      </c>
      <c r="K7">
        <f>IF(Results!K7&gt;0,Parameters!$B$6,Parameters!$B$7*((Results!K6-Results!K7)+(Results!L7-Results!K7)+(Results!K8-Results!K7)+(Results!J7-Results!K7))+Results!K7)</f>
        <v>0.28323839206343726</v>
      </c>
      <c r="L7">
        <f>IF(Results!L7&gt;0,Parameters!$B$6,Parameters!$B$7*((Results!L6-Results!L7)+(Results!M7-Results!L7)+(Results!L8-Results!L7)+(Results!K7-Results!L7))+Results!L7)</f>
        <v>0.28323839206343726</v>
      </c>
      <c r="M7">
        <f>IF(Results!M7&gt;0,Parameters!$B$6,Parameters!$B$7*((Results!M6-Results!M7)+(Results!N7-Results!M7)+(Results!M8-Results!M7)+(Results!L7-Results!M7))+Results!M7)</f>
        <v>23</v>
      </c>
      <c r="N7">
        <f>IF(Results!N7&gt;0,Parameters!$B$6,Parameters!$B$7*((Results!N6-Results!N7)+(Results!O7-Results!N7)+(Results!N8-Results!N7)+(Results!M7-Results!N7))+Results!N7)</f>
        <v>23</v>
      </c>
      <c r="O7">
        <f>IF(Results!O7&gt;0,Parameters!$B$6,Parameters!$B$7*((Results!O6-Results!O7)+(Results!P7-Results!O7)+(Results!O8-Results!O7)+(Results!N7-Results!O7))+Results!O7)</f>
        <v>23</v>
      </c>
      <c r="P7">
        <f>IF(Results!P7&gt;0,Parameters!$B$6,Parameters!$B$7*((Results!P6-Results!P7)+(Results!Q7-Results!P7)+(Results!P8-Results!P7)+(Results!O7-Results!P7))+Results!P7)</f>
        <v>23</v>
      </c>
      <c r="Q7">
        <f>IF(Results!Q7&gt;0,Parameters!$B$6,Parameters!$B$7*((Results!Q6-Results!Q7)+(Results!R7-Results!Q7)+(Results!Q8-Results!Q7)+(Results!P7-Results!Q7))+Results!Q7)</f>
        <v>23</v>
      </c>
      <c r="R7">
        <f>IF(Results!R7&gt;0,Parameters!$B$6,Parameters!$B$7*((Results!R6-Results!R7)+(Results!S7-Results!R7)+(Results!R8-Results!R7)+(Results!Q7-Results!R7))+Results!R7)</f>
        <v>23</v>
      </c>
      <c r="S7">
        <f>IF(Results!S7&gt;0,Parameters!$B$6,Parameters!$B$7*((Results!S6-Results!S7)+(Results!T7-Results!S7)+(Results!S8-Results!S7)+(Results!R7-Results!S7))+Results!S7)</f>
        <v>23</v>
      </c>
      <c r="T7">
        <f>IF(Results!T7&gt;0,Parameters!$B$6,Parameters!$B$7*((Results!T6-Results!T7)+(Results!U7-Results!T7)+(Results!T8-Results!T7)+(Results!S7-Results!T7))+Results!T7)</f>
        <v>23</v>
      </c>
      <c r="U7">
        <v>23</v>
      </c>
    </row>
    <row r="8" spans="1:22" x14ac:dyDescent="0.3">
      <c r="A8">
        <v>7</v>
      </c>
      <c r="B8">
        <v>23</v>
      </c>
      <c r="C8">
        <f>IF(Results!C8&gt;0,Parameters!$B$6,Parameters!$B$7*((Results!C7-Results!C8)+(Results!D8-Results!C8)+(Results!C9-Results!C8)+(Results!B8-Results!C8))+Results!C8)</f>
        <v>23</v>
      </c>
      <c r="D8">
        <f>IF(Results!D8&gt;0,Parameters!$B$6,Parameters!$B$7*((Results!D7-Results!D8)+(Results!E8-Results!D8)+(Results!D9-Results!D8)+(Results!C8-Results!D8))+Results!D8)</f>
        <v>23</v>
      </c>
      <c r="E8">
        <f>IF(Results!E8&gt;0,Parameters!$B$6,Parameters!$B$7*((Results!E7-Results!E8)+(Results!F8-Results!E8)+(Results!E9-Results!E8)+(Results!D8-Results!E8))+Results!E8)</f>
        <v>23</v>
      </c>
      <c r="F8">
        <f>IF(Results!F8&gt;0,Parameters!$B$6,Parameters!$B$7*((Results!F7-Results!F8)+(Results!G8-Results!F8)+(Results!F9-Results!F8)+(Results!E8-Results!F8))+Results!F8)</f>
        <v>23</v>
      </c>
      <c r="G8">
        <f>IF(Results!G8&gt;0,Parameters!$B$6,Parameters!$B$7*((Results!G7-Results!G8)+(Results!H8-Results!G8)+(Results!G9-Results!G8)+(Results!F8-Results!G8))+Results!G8)</f>
        <v>23</v>
      </c>
      <c r="H8">
        <f>IF(Results!H8&gt;0,Parameters!$B$6,Parameters!$B$7*((Results!H7-Results!H8)+(Results!I8-Results!H8)+(Results!H9-Results!H8)+(Results!G8-Results!H8))+Results!H8)</f>
        <v>0.51255687981366549</v>
      </c>
      <c r="I8">
        <f>IF(Results!I8&gt;0,Parameters!$B$6,Parameters!$B$7*((Results!I7-Results!I8)+(Results!J8-Results!I8)+(Results!I9-Results!I8)+(Results!H8-Results!I8))+Results!I8)</f>
        <v>-8.5087132827976113</v>
      </c>
      <c r="J8">
        <f>IF(Results!J8&gt;0,Parameters!$B$6,Parameters!$B$7*((Results!J7-Results!J8)+(Results!K8-Results!J8)+(Results!J9-Results!J8)+(Results!I8-Results!J8))+Results!J8)</f>
        <v>-12.715330703284462</v>
      </c>
      <c r="K8">
        <f>IF(Results!K8&gt;0,Parameters!$B$6,Parameters!$B$7*((Results!K7-Results!K8)+(Results!L8-Results!K8)+(Results!K9-Results!K8)+(Results!J8-Results!K8))+Results!K8)</f>
        <v>-13.186251501660138</v>
      </c>
      <c r="L8">
        <f>IF(Results!L8&gt;0,Parameters!$B$6,Parameters!$B$7*((Results!L7-Results!L8)+(Results!M8-Results!L8)+(Results!L9-Results!L8)+(Results!K8-Results!L8))+Results!L8)</f>
        <v>-13.186251501660138</v>
      </c>
      <c r="M8">
        <f>IF(Results!M8&gt;0,Parameters!$B$6,Parameters!$B$7*((Results!M7-Results!M8)+(Results!N8-Results!M8)+(Results!M9-Results!M8)+(Results!L8-Results!M8))+Results!M8)</f>
        <v>-12.715330703284462</v>
      </c>
      <c r="N8">
        <f>IF(Results!N8&gt;0,Parameters!$B$6,Parameters!$B$7*((Results!N7-Results!N8)+(Results!O8-Results!N8)+(Results!N9-Results!N8)+(Results!M8-Results!N8))+Results!N8)</f>
        <v>-8.5087132827976113</v>
      </c>
      <c r="O8">
        <f>IF(Results!O8&gt;0,Parameters!$B$6,Parameters!$B$7*((Results!O7-Results!O8)+(Results!P8-Results!O8)+(Results!O9-Results!O8)+(Results!N8-Results!O8))+Results!O8)</f>
        <v>0.51255687981366505</v>
      </c>
      <c r="P8">
        <f>IF(Results!P8&gt;0,Parameters!$B$6,Parameters!$B$7*((Results!P7-Results!P8)+(Results!Q8-Results!P8)+(Results!P9-Results!P8)+(Results!O8-Results!P8))+Results!P8)</f>
        <v>23</v>
      </c>
      <c r="Q8">
        <f>IF(Results!Q8&gt;0,Parameters!$B$6,Parameters!$B$7*((Results!Q7-Results!Q8)+(Results!R8-Results!Q8)+(Results!Q9-Results!Q8)+(Results!P8-Results!Q8))+Results!Q8)</f>
        <v>23</v>
      </c>
      <c r="R8">
        <f>IF(Results!R8&gt;0,Parameters!$B$6,Parameters!$B$7*((Results!R7-Results!R8)+(Results!S8-Results!R8)+(Results!R9-Results!R8)+(Results!Q8-Results!R8))+Results!R8)</f>
        <v>23</v>
      </c>
      <c r="S8">
        <f>IF(Results!S8&gt;0,Parameters!$B$6,Parameters!$B$7*((Results!S7-Results!S8)+(Results!T8-Results!S8)+(Results!S9-Results!S8)+(Results!R8-Results!S8))+Results!S8)</f>
        <v>23</v>
      </c>
      <c r="T8">
        <f>IF(Results!T8&gt;0,Parameters!$B$6,Parameters!$B$7*((Results!T7-Results!T8)+(Results!U8-Results!T8)+(Results!T9-Results!T8)+(Results!S8-Results!T8))+Results!T8)</f>
        <v>23</v>
      </c>
      <c r="U8">
        <v>23</v>
      </c>
    </row>
    <row r="9" spans="1:22" x14ac:dyDescent="0.3">
      <c r="A9">
        <v>8</v>
      </c>
      <c r="B9">
        <v>23</v>
      </c>
      <c r="C9">
        <f>IF(Results!C9&gt;0,Parameters!$B$6,Parameters!$B$7*((Results!C8-Results!C9)+(Results!D9-Results!C9)+(Results!C10-Results!C9)+(Results!B9-Results!C9))+Results!C9)</f>
        <v>23</v>
      </c>
      <c r="D9">
        <f>IF(Results!D9&gt;0,Parameters!$B$6,Parameters!$B$7*((Results!D8-Results!D9)+(Results!E9-Results!D9)+(Results!D10-Results!D9)+(Results!C9-Results!D9))+Results!D9)</f>
        <v>23</v>
      </c>
      <c r="E9">
        <f>IF(Results!E9&gt;0,Parameters!$B$6,Parameters!$B$7*((Results!E8-Results!E9)+(Results!F9-Results!E9)+(Results!E10-Results!E9)+(Results!D9-Results!E9))+Results!E9)</f>
        <v>23</v>
      </c>
      <c r="F9">
        <f>IF(Results!F9&gt;0,Parameters!$B$6,Parameters!$B$7*((Results!F8-Results!F9)+(Results!G9-Results!F9)+(Results!F10-Results!F9)+(Results!E9-Results!F9))+Results!F9)</f>
        <v>23</v>
      </c>
      <c r="G9">
        <f>IF(Results!G9&gt;0,Parameters!$B$6,Parameters!$B$7*((Results!G8-Results!G9)+(Results!H9-Results!G9)+(Results!G10-Results!G9)+(Results!F9-Results!G9))+Results!G9)</f>
        <v>23</v>
      </c>
      <c r="H9">
        <f>IF(Results!H9&gt;0,Parameters!$B$6,Parameters!$B$7*((Results!H8-Results!H9)+(Results!I9-Results!H9)+(Results!H10-Results!H9)+(Results!G9-Results!H9))+Results!H9)</f>
        <v>-8.5087132827976113</v>
      </c>
      <c r="I9">
        <f>IF(Results!I9&gt;0,Parameters!$B$6,Parameters!$B$7*((Results!I8-Results!I9)+(Results!J9-Results!I9)+(Results!I10-Results!I9)+(Results!H9-Results!I9))+Results!I9)</f>
        <v>-16.398507873357662</v>
      </c>
      <c r="J9">
        <f>IF(Results!J9&gt;0,Parameters!$B$6,Parameters!$B$7*((Results!J8-Results!J9)+(Results!K9-Results!J9)+(Results!J10-Results!J9)+(Results!I9-Results!J9))+Results!J9)</f>
        <v>-18.012103902499714</v>
      </c>
      <c r="K9">
        <f>IF(Results!K9&gt;0,Parameters!$B$6,Parameters!$B$7*((Results!K8-Results!K9)+(Results!L9-Results!K9)+(Results!K10-Results!K9)+(Results!J9-Results!K9))+Results!K9)</f>
        <v>-18.28021213274566</v>
      </c>
      <c r="L9">
        <f>IF(Results!L9&gt;0,Parameters!$B$6,Parameters!$B$7*((Results!L8-Results!L9)+(Results!M9-Results!L9)+(Results!L10-Results!L9)+(Results!K9-Results!L9))+Results!L9)</f>
        <v>-18.28021213274566</v>
      </c>
      <c r="M9">
        <f>IF(Results!M9&gt;0,Parameters!$B$6,Parameters!$B$7*((Results!M8-Results!M9)+(Results!N9-Results!M9)+(Results!M10-Results!M9)+(Results!L9-Results!M9))+Results!M9)</f>
        <v>-18.012103902499714</v>
      </c>
      <c r="N9">
        <f>IF(Results!N9&gt;0,Parameters!$B$6,Parameters!$B$7*((Results!N8-Results!N9)+(Results!O9-Results!N9)+(Results!N10-Results!N9)+(Results!M9-Results!N9))+Results!N9)</f>
        <v>-16.398507873357662</v>
      </c>
      <c r="O9">
        <f>IF(Results!O9&gt;0,Parameters!$B$6,Parameters!$B$7*((Results!O8-Results!O9)+(Results!P9-Results!O9)+(Results!O10-Results!O9)+(Results!N9-Results!O9))+Results!O9)</f>
        <v>-8.5087132827976113</v>
      </c>
      <c r="P9">
        <f>IF(Results!P9&gt;0,Parameters!$B$6,Parameters!$B$7*((Results!P8-Results!P9)+(Results!Q9-Results!P9)+(Results!P10-Results!P9)+(Results!O9-Results!P9))+Results!P9)</f>
        <v>23</v>
      </c>
      <c r="Q9">
        <f>IF(Results!Q9&gt;0,Parameters!$B$6,Parameters!$B$7*((Results!Q8-Results!Q9)+(Results!R9-Results!Q9)+(Results!Q10-Results!Q9)+(Results!P9-Results!Q9))+Results!Q9)</f>
        <v>23</v>
      </c>
      <c r="R9">
        <f>IF(Results!R9&gt;0,Parameters!$B$6,Parameters!$B$7*((Results!R8-Results!R9)+(Results!S9-Results!R9)+(Results!R10-Results!R9)+(Results!Q9-Results!R9))+Results!R9)</f>
        <v>23</v>
      </c>
      <c r="S9">
        <f>IF(Results!S9&gt;0,Parameters!$B$6,Parameters!$B$7*((Results!S8-Results!S9)+(Results!T9-Results!S9)+(Results!S10-Results!S9)+(Results!R9-Results!S9))+Results!S9)</f>
        <v>23</v>
      </c>
      <c r="T9">
        <f>IF(Results!T9&gt;0,Parameters!$B$6,Parameters!$B$7*((Results!T8-Results!T9)+(Results!U9-Results!T9)+(Results!T10-Results!T9)+(Results!S9-Results!T9))+Results!T9)</f>
        <v>23</v>
      </c>
      <c r="U9">
        <v>23</v>
      </c>
    </row>
    <row r="10" spans="1:22" x14ac:dyDescent="0.3">
      <c r="A10">
        <v>9</v>
      </c>
      <c r="B10">
        <v>23</v>
      </c>
      <c r="C10">
        <f>IF(Results!C10&gt;0,Parameters!$B$6,Parameters!$B$7*((Results!C9-Results!C10)+(Results!D10-Results!C10)+(Results!C11-Results!C10)+(Results!B10-Results!C10))+Results!C10)</f>
        <v>23</v>
      </c>
      <c r="D10">
        <f>IF(Results!D10&gt;0,Parameters!$B$6,Parameters!$B$7*((Results!D9-Results!D10)+(Results!E10-Results!D10)+(Results!D11-Results!D10)+(Results!C10-Results!D10))+Results!D10)</f>
        <v>23</v>
      </c>
      <c r="E10">
        <f>IF(Results!E10&gt;0,Parameters!$B$6,Parameters!$B$7*((Results!E9-Results!E10)+(Results!F10-Results!E10)+(Results!E11-Results!E10)+(Results!D10-Results!E10))+Results!E10)</f>
        <v>23</v>
      </c>
      <c r="F10">
        <f>IF(Results!F10&gt;0,Parameters!$B$6,Parameters!$B$7*((Results!F9-Results!F10)+(Results!G10-Results!F10)+(Results!F11-Results!F10)+(Results!E10-Results!F10))+Results!F10)</f>
        <v>23</v>
      </c>
      <c r="G10">
        <f>IF(Results!G10&gt;0,Parameters!$B$6,Parameters!$B$7*((Results!G9-Results!G10)+(Results!H10-Results!G10)+(Results!G11-Results!G10)+(Results!F10-Results!G10))+Results!G10)</f>
        <v>23</v>
      </c>
      <c r="H10">
        <f>IF(Results!H10&gt;0,Parameters!$B$6,Parameters!$B$7*((Results!H9-Results!H10)+(Results!I10-Results!H10)+(Results!H11-Results!H10)+(Results!G10-Results!H10))+Results!H10)</f>
        <v>-12.715330703284462</v>
      </c>
      <c r="I10">
        <f>IF(Results!I10&gt;0,Parameters!$B$6,Parameters!$B$7*((Results!I9-Results!I10)+(Results!J10-Results!I10)+(Results!I11-Results!I10)+(Results!H10-Results!I10))+Results!I10)</f>
        <v>-18.012103902499714</v>
      </c>
      <c r="J10">
        <f>IF(Results!J10&gt;0,Parameters!$B$6,Parameters!$B$7*((Results!J9-Results!J10)+(Results!K10-Results!J10)+(Results!J11-Results!J10)+(Results!I10-Results!J10))+Results!J10)</f>
        <v>-19.374195348211892</v>
      </c>
      <c r="K10">
        <f>IF(Results!K10&gt;0,Parameters!$B$6,Parameters!$B$7*((Results!K9-Results!K10)+(Results!L10-Results!K10)+(Results!K11-Results!K10)+(Results!J10-Results!K10))+Results!K10)</f>
        <v>-19.63623759024874</v>
      </c>
      <c r="L10">
        <f>IF(Results!L10&gt;0,Parameters!$B$6,Parameters!$B$7*((Results!L9-Results!L10)+(Results!M10-Results!L10)+(Results!L11-Results!L10)+(Results!K10-Results!L10))+Results!L10)</f>
        <v>-19.63623759024874</v>
      </c>
      <c r="M10">
        <f>IF(Results!M10&gt;0,Parameters!$B$6,Parameters!$B$7*((Results!M9-Results!M10)+(Results!N10-Results!M10)+(Results!M11-Results!M10)+(Results!L10-Results!M10))+Results!M10)</f>
        <v>-19.374195348211892</v>
      </c>
      <c r="N10">
        <f>IF(Results!N10&gt;0,Parameters!$B$6,Parameters!$B$7*((Results!N9-Results!N10)+(Results!O10-Results!N10)+(Results!N11-Results!N10)+(Results!M10-Results!N10))+Results!N10)</f>
        <v>-18.012103902499714</v>
      </c>
      <c r="O10">
        <f>IF(Results!O10&gt;0,Parameters!$B$6,Parameters!$B$7*((Results!O9-Results!O10)+(Results!P10-Results!O10)+(Results!O11-Results!O10)+(Results!N10-Results!O10))+Results!O10)</f>
        <v>-12.715330703284462</v>
      </c>
      <c r="P10">
        <f>IF(Results!P10&gt;0,Parameters!$B$6,Parameters!$B$7*((Results!P9-Results!P10)+(Results!Q10-Results!P10)+(Results!P11-Results!P10)+(Results!O10-Results!P10))+Results!P10)</f>
        <v>23</v>
      </c>
      <c r="Q10">
        <f>IF(Results!Q10&gt;0,Parameters!$B$6,Parameters!$B$7*((Results!Q9-Results!Q10)+(Results!R10-Results!Q10)+(Results!Q11-Results!Q10)+(Results!P10-Results!Q10))+Results!Q10)</f>
        <v>23</v>
      </c>
      <c r="R10">
        <f>IF(Results!R10&gt;0,Parameters!$B$6,Parameters!$B$7*((Results!R9-Results!R10)+(Results!S10-Results!R10)+(Results!R11-Results!R10)+(Results!Q10-Results!R10))+Results!R10)</f>
        <v>23</v>
      </c>
      <c r="S10">
        <f>IF(Results!S10&gt;0,Parameters!$B$6,Parameters!$B$7*((Results!S9-Results!S10)+(Results!T10-Results!S10)+(Results!S11-Results!S10)+(Results!R10-Results!S10))+Results!S10)</f>
        <v>23</v>
      </c>
      <c r="T10">
        <f>IF(Results!T10&gt;0,Parameters!$B$6,Parameters!$B$7*((Results!T9-Results!T10)+(Results!U10-Results!T10)+(Results!T11-Results!T10)+(Results!S10-Results!T10))+Results!T10)</f>
        <v>23</v>
      </c>
      <c r="U10">
        <v>23</v>
      </c>
    </row>
    <row r="11" spans="1:22" x14ac:dyDescent="0.3">
      <c r="A11">
        <v>10</v>
      </c>
      <c r="B11">
        <v>23</v>
      </c>
      <c r="C11">
        <f>IF(Results!C11&gt;0,Parameters!$B$6,Parameters!$B$7*((Results!C10-Results!C11)+(Results!D11-Results!C11)+(Results!C12-Results!C11)+(Results!B11-Results!C11))+Results!C11)</f>
        <v>23</v>
      </c>
      <c r="D11">
        <f>IF(Results!D11&gt;0,Parameters!$B$6,Parameters!$B$7*((Results!D10-Results!D11)+(Results!E11-Results!D11)+(Results!D12-Results!D11)+(Results!C11-Results!D11))+Results!D11)</f>
        <v>23</v>
      </c>
      <c r="E11">
        <f>IF(Results!E11&gt;0,Parameters!$B$6,Parameters!$B$7*((Results!E10-Results!E11)+(Results!F11-Results!E11)+(Results!E12-Results!E11)+(Results!D11-Results!E11))+Results!E11)</f>
        <v>23</v>
      </c>
      <c r="F11">
        <f>IF(Results!F11&gt;0,Parameters!$B$6,Parameters!$B$7*((Results!F10-Results!F11)+(Results!G11-Results!F11)+(Results!F12-Results!F11)+(Results!E11-Results!F11))+Results!F11)</f>
        <v>23</v>
      </c>
      <c r="G11">
        <f>IF(Results!G11&gt;0,Parameters!$B$6,Parameters!$B$7*((Results!G10-Results!G11)+(Results!H11-Results!G11)+(Results!G12-Results!G11)+(Results!F11-Results!G11))+Results!G11)</f>
        <v>0.28323839206343726</v>
      </c>
      <c r="H11">
        <f>IF(Results!H11&gt;0,Parameters!$B$6,Parameters!$B$7*((Results!H10-Results!H11)+(Results!I11-Results!H11)+(Results!H12-Results!H11)+(Results!G11-Results!H11))+Results!H11)</f>
        <v>-13.186251501660138</v>
      </c>
      <c r="I11">
        <f>IF(Results!I11&gt;0,Parameters!$B$6,Parameters!$B$7*((Results!I10-Results!I11)+(Results!J11-Results!I11)+(Results!I12-Results!I11)+(Results!H11-Results!I11))+Results!I11)</f>
        <v>-18.28021213274566</v>
      </c>
      <c r="J11">
        <f>IF(Results!J11&gt;0,Parameters!$B$6,Parameters!$B$7*((Results!J10-Results!J11)+(Results!K11-Results!J11)+(Results!J12-Results!J11)+(Results!I11-Results!J11))+Results!J11)</f>
        <v>-19.63623759024874</v>
      </c>
      <c r="K11">
        <f>IF(Results!K11&gt;0,Parameters!$B$6,Parameters!$B$7*((Results!K10-Results!K11)+(Results!L11-Results!K11)+(Results!K12-Results!K11)+(Results!J11-Results!K11))+Results!K11)</f>
        <v>-19.898558669724203</v>
      </c>
      <c r="L11">
        <f>IF(Results!L11&gt;0,Parameters!$B$6,Parameters!$B$7*((Results!L10-Results!L11)+(Results!M11-Results!L11)+(Results!L12-Results!L11)+(Results!K11-Results!L11))+Results!L11)</f>
        <v>-19.898558669724203</v>
      </c>
      <c r="M11">
        <f>IF(Results!M11&gt;0,Parameters!$B$6,Parameters!$B$7*((Results!M10-Results!M11)+(Results!N11-Results!M11)+(Results!M12-Results!M11)+(Results!L11-Results!M11))+Results!M11)</f>
        <v>-19.63623759024874</v>
      </c>
      <c r="N11">
        <f>IF(Results!N11&gt;0,Parameters!$B$6,Parameters!$B$7*((Results!N10-Results!N11)+(Results!O11-Results!N11)+(Results!N12-Results!N11)+(Results!M11-Results!N11))+Results!N11)</f>
        <v>-18.28021213274566</v>
      </c>
      <c r="O11">
        <f>IF(Results!O11&gt;0,Parameters!$B$6,Parameters!$B$7*((Results!O10-Results!O11)+(Results!P11-Results!O11)+(Results!O12-Results!O11)+(Results!N11-Results!O11))+Results!O11)</f>
        <v>-13.186251501660138</v>
      </c>
      <c r="P11">
        <f>IF(Results!P11&gt;0,Parameters!$B$6,Parameters!$B$7*((Results!P10-Results!P11)+(Results!Q11-Results!P11)+(Results!P12-Results!P11)+(Results!O11-Results!P11))+Results!P11)</f>
        <v>0.28323839206343726</v>
      </c>
      <c r="Q11">
        <f>IF(Results!Q11&gt;0,Parameters!$B$6,Parameters!$B$7*((Results!Q10-Results!Q11)+(Results!R11-Results!Q11)+(Results!Q12-Results!Q11)+(Results!P11-Results!Q11))+Results!Q11)</f>
        <v>23</v>
      </c>
      <c r="R11">
        <f>IF(Results!R11&gt;0,Parameters!$B$6,Parameters!$B$7*((Results!R10-Results!R11)+(Results!S11-Results!R11)+(Results!R12-Results!R11)+(Results!Q11-Results!R11))+Results!R11)</f>
        <v>23</v>
      </c>
      <c r="S11">
        <f>IF(Results!S11&gt;0,Parameters!$B$6,Parameters!$B$7*((Results!S10-Results!S11)+(Results!T11-Results!S11)+(Results!S12-Results!S11)+(Results!R11-Results!S11))+Results!S11)</f>
        <v>23</v>
      </c>
      <c r="T11">
        <f>IF(Results!T11&gt;0,Parameters!$B$6,Parameters!$B$7*((Results!T10-Results!T11)+(Results!U11-Results!T11)+(Results!T12-Results!T11)+(Results!S11-Results!T11))+Results!T11)</f>
        <v>23</v>
      </c>
      <c r="U11">
        <v>23</v>
      </c>
    </row>
    <row r="12" spans="1:22" x14ac:dyDescent="0.3">
      <c r="A12">
        <v>11</v>
      </c>
      <c r="B12">
        <v>23</v>
      </c>
      <c r="C12">
        <f>IF(Results!C12&gt;0,Parameters!$B$6,Parameters!$B$7*((Results!C11-Results!C12)+(Results!D12-Results!C12)+(Results!C13-Results!C12)+(Results!B12-Results!C12))+Results!C12)</f>
        <v>23</v>
      </c>
      <c r="D12">
        <f>IF(Results!D12&gt;0,Parameters!$B$6,Parameters!$B$7*((Results!D11-Results!D12)+(Results!E12-Results!D12)+(Results!D13-Results!D12)+(Results!C12-Results!D12))+Results!D12)</f>
        <v>23</v>
      </c>
      <c r="E12">
        <f>IF(Results!E12&gt;0,Parameters!$B$6,Parameters!$B$7*((Results!E11-Results!E12)+(Results!F12-Results!E12)+(Results!E13-Results!E12)+(Results!D12-Results!E12))+Results!E12)</f>
        <v>23</v>
      </c>
      <c r="F12">
        <f>IF(Results!F12&gt;0,Parameters!$B$6,Parameters!$B$7*((Results!F11-Results!F12)+(Results!G12-Results!F12)+(Results!F13-Results!F12)+(Results!E12-Results!F12))+Results!F12)</f>
        <v>23</v>
      </c>
      <c r="G12">
        <f>IF(Results!G12&gt;0,Parameters!$B$6,Parameters!$B$7*((Results!G11-Results!G12)+(Results!H12-Results!G12)+(Results!G13-Results!G12)+(Results!F12-Results!G12))+Results!G12)</f>
        <v>0.28323839206343726</v>
      </c>
      <c r="H12">
        <f>IF(Results!H12&gt;0,Parameters!$B$6,Parameters!$B$7*((Results!H11-Results!H12)+(Results!I12-Results!H12)+(Results!H13-Results!H12)+(Results!G12-Results!H12))+Results!H12)</f>
        <v>-13.186251501660138</v>
      </c>
      <c r="I12">
        <f>IF(Results!I12&gt;0,Parameters!$B$6,Parameters!$B$7*((Results!I11-Results!I12)+(Results!J12-Results!I12)+(Results!I13-Results!I12)+(Results!H12-Results!I12))+Results!I12)</f>
        <v>-18.28021213274566</v>
      </c>
      <c r="J12">
        <f>IF(Results!J12&gt;0,Parameters!$B$6,Parameters!$B$7*((Results!J11-Results!J12)+(Results!K12-Results!J12)+(Results!J13-Results!J12)+(Results!I12-Results!J12))+Results!J12)</f>
        <v>-19.63623759024874</v>
      </c>
      <c r="K12">
        <f>IF(Results!K12&gt;0,Parameters!$B$6,Parameters!$B$7*((Results!K11-Results!K12)+(Results!L12-Results!K12)+(Results!K13-Results!K12)+(Results!J12-Results!K12))+Results!K12)</f>
        <v>-19.898558669724203</v>
      </c>
      <c r="L12">
        <f>IF(Results!L12&gt;0,Parameters!$B$6,Parameters!$B$7*((Results!L11-Results!L12)+(Results!M12-Results!L12)+(Results!L13-Results!L12)+(Results!K12-Results!L12))+Results!L12)</f>
        <v>-19.898558669724203</v>
      </c>
      <c r="M12">
        <f>IF(Results!M12&gt;0,Parameters!$B$6,Parameters!$B$7*((Results!M11-Results!M12)+(Results!N12-Results!M12)+(Results!M13-Results!M12)+(Results!L12-Results!M12))+Results!M12)</f>
        <v>-19.63623759024874</v>
      </c>
      <c r="N12">
        <f>IF(Results!N12&gt;0,Parameters!$B$6,Parameters!$B$7*((Results!N11-Results!N12)+(Results!O12-Results!N12)+(Results!N13-Results!N12)+(Results!M12-Results!N12))+Results!N12)</f>
        <v>-18.28021213274566</v>
      </c>
      <c r="O12">
        <f>IF(Results!O12&gt;0,Parameters!$B$6,Parameters!$B$7*((Results!O11-Results!O12)+(Results!P12-Results!O12)+(Results!O13-Results!O12)+(Results!N12-Results!O12))+Results!O12)</f>
        <v>-13.186251501660138</v>
      </c>
      <c r="P12">
        <f>IF(Results!P12&gt;0,Parameters!$B$6,Parameters!$B$7*((Results!P11-Results!P12)+(Results!Q12-Results!P12)+(Results!P13-Results!P12)+(Results!O12-Results!P12))+Results!P12)</f>
        <v>0.28323839206343682</v>
      </c>
      <c r="Q12">
        <f>IF(Results!Q12&gt;0,Parameters!$B$6,Parameters!$B$7*((Results!Q11-Results!Q12)+(Results!R12-Results!Q12)+(Results!Q13-Results!Q12)+(Results!P12-Results!Q12))+Results!Q12)</f>
        <v>23</v>
      </c>
      <c r="R12">
        <f>IF(Results!R12&gt;0,Parameters!$B$6,Parameters!$B$7*((Results!R11-Results!R12)+(Results!S12-Results!R12)+(Results!R13-Results!R12)+(Results!Q12-Results!R12))+Results!R12)</f>
        <v>23</v>
      </c>
      <c r="S12">
        <f>IF(Results!S12&gt;0,Parameters!$B$6,Parameters!$B$7*((Results!S11-Results!S12)+(Results!T12-Results!S12)+(Results!S13-Results!S12)+(Results!R12-Results!S12))+Results!S12)</f>
        <v>23</v>
      </c>
      <c r="T12">
        <f>IF(Results!T12&gt;0,Parameters!$B$6,Parameters!$B$7*((Results!T11-Results!T12)+(Results!U12-Results!T12)+(Results!T13-Results!T12)+(Results!S12-Results!T12))+Results!T12)</f>
        <v>23</v>
      </c>
      <c r="U12">
        <v>23</v>
      </c>
    </row>
    <row r="13" spans="1:22" x14ac:dyDescent="0.3">
      <c r="A13">
        <v>12</v>
      </c>
      <c r="B13">
        <v>23</v>
      </c>
      <c r="C13">
        <f>IF(Results!C13&gt;0,Parameters!$B$6,Parameters!$B$7*((Results!C12-Results!C13)+(Results!D13-Results!C13)+(Results!C14-Results!C13)+(Results!B13-Results!C13))+Results!C13)</f>
        <v>23</v>
      </c>
      <c r="D13">
        <f>IF(Results!D13&gt;0,Parameters!$B$6,Parameters!$B$7*((Results!D12-Results!D13)+(Results!E13-Results!D13)+(Results!D14-Results!D13)+(Results!C13-Results!D13))+Results!D13)</f>
        <v>23</v>
      </c>
      <c r="E13">
        <f>IF(Results!E13&gt;0,Parameters!$B$6,Parameters!$B$7*((Results!E12-Results!E13)+(Results!F13-Results!E13)+(Results!E14-Results!E13)+(Results!D13-Results!E13))+Results!E13)</f>
        <v>23</v>
      </c>
      <c r="F13">
        <f>IF(Results!F13&gt;0,Parameters!$B$6,Parameters!$B$7*((Results!F12-Results!F13)+(Results!G13-Results!F13)+(Results!F14-Results!F13)+(Results!E13-Results!F13))+Results!F13)</f>
        <v>23</v>
      </c>
      <c r="G13">
        <f>IF(Results!G13&gt;0,Parameters!$B$6,Parameters!$B$7*((Results!G12-Results!G13)+(Results!H13-Results!G13)+(Results!G14-Results!G13)+(Results!F13-Results!G13))+Results!G13)</f>
        <v>23</v>
      </c>
      <c r="H13">
        <f>IF(Results!H13&gt;0,Parameters!$B$6,Parameters!$B$7*((Results!H12-Results!H13)+(Results!I13-Results!H13)+(Results!H14-Results!H13)+(Results!G13-Results!H13))+Results!H13)</f>
        <v>-12.715330703284462</v>
      </c>
      <c r="I13">
        <f>IF(Results!I13&gt;0,Parameters!$B$6,Parameters!$B$7*((Results!I12-Results!I13)+(Results!J13-Results!I13)+(Results!I14-Results!I13)+(Results!H13-Results!I13))+Results!I13)</f>
        <v>-18.012103902499714</v>
      </c>
      <c r="J13">
        <f>IF(Results!J13&gt;0,Parameters!$B$6,Parameters!$B$7*((Results!J12-Results!J13)+(Results!K13-Results!J13)+(Results!J14-Results!J13)+(Results!I13-Results!J13))+Results!J13)</f>
        <v>-19.374195348211892</v>
      </c>
      <c r="K13">
        <f>IF(Results!K13&gt;0,Parameters!$B$6,Parameters!$B$7*((Results!K12-Results!K13)+(Results!L13-Results!K13)+(Results!K14-Results!K13)+(Results!J13-Results!K13))+Results!K13)</f>
        <v>-19.63623759024874</v>
      </c>
      <c r="L13">
        <f>IF(Results!L13&gt;0,Parameters!$B$6,Parameters!$B$7*((Results!L12-Results!L13)+(Results!M13-Results!L13)+(Results!L14-Results!L13)+(Results!K13-Results!L13))+Results!L13)</f>
        <v>-19.63623759024874</v>
      </c>
      <c r="M13">
        <f>IF(Results!M13&gt;0,Parameters!$B$6,Parameters!$B$7*((Results!M12-Results!M13)+(Results!N13-Results!M13)+(Results!M14-Results!M13)+(Results!L13-Results!M13))+Results!M13)</f>
        <v>-19.374195348211892</v>
      </c>
      <c r="N13">
        <f>IF(Results!N13&gt;0,Parameters!$B$6,Parameters!$B$7*((Results!N12-Results!N13)+(Results!O13-Results!N13)+(Results!N14-Results!N13)+(Results!M13-Results!N13))+Results!N13)</f>
        <v>-18.012103902499714</v>
      </c>
      <c r="O13">
        <f>IF(Results!O13&gt;0,Parameters!$B$6,Parameters!$B$7*((Results!O12-Results!O13)+(Results!P13-Results!O13)+(Results!O14-Results!O13)+(Results!N13-Results!O13))+Results!O13)</f>
        <v>-12.715330703284462</v>
      </c>
      <c r="P13">
        <f>IF(Results!P13&gt;0,Parameters!$B$6,Parameters!$B$7*((Results!P12-Results!P13)+(Results!Q13-Results!P13)+(Results!P14-Results!P13)+(Results!O13-Results!P13))+Results!P13)</f>
        <v>23</v>
      </c>
      <c r="Q13">
        <f>IF(Results!Q13&gt;0,Parameters!$B$6,Parameters!$B$7*((Results!Q12-Results!Q13)+(Results!R13-Results!Q13)+(Results!Q14-Results!Q13)+(Results!P13-Results!Q13))+Results!Q13)</f>
        <v>23</v>
      </c>
      <c r="R13">
        <f>IF(Results!R13&gt;0,Parameters!$B$6,Parameters!$B$7*((Results!R12-Results!R13)+(Results!S13-Results!R13)+(Results!R14-Results!R13)+(Results!Q13-Results!R13))+Results!R13)</f>
        <v>23</v>
      </c>
      <c r="S13">
        <f>IF(Results!S13&gt;0,Parameters!$B$6,Parameters!$B$7*((Results!S12-Results!S13)+(Results!T13-Results!S13)+(Results!S14-Results!S13)+(Results!R13-Results!S13))+Results!S13)</f>
        <v>23</v>
      </c>
      <c r="T13">
        <f>IF(Results!T13&gt;0,Parameters!$B$6,Parameters!$B$7*((Results!T12-Results!T13)+(Results!U13-Results!T13)+(Results!T14-Results!T13)+(Results!S13-Results!T13))+Results!T13)</f>
        <v>23</v>
      </c>
      <c r="U13">
        <v>23</v>
      </c>
    </row>
    <row r="14" spans="1:22" x14ac:dyDescent="0.3">
      <c r="A14">
        <v>13</v>
      </c>
      <c r="B14">
        <v>23</v>
      </c>
      <c r="C14">
        <f>IF(Results!C14&gt;0,Parameters!$B$6,Parameters!$B$7*((Results!C13-Results!C14)+(Results!D14-Results!C14)+(Results!C15-Results!C14)+(Results!B14-Results!C14))+Results!C14)</f>
        <v>23</v>
      </c>
      <c r="D14">
        <f>IF(Results!D14&gt;0,Parameters!$B$6,Parameters!$B$7*((Results!D13-Results!D14)+(Results!E14-Results!D14)+(Results!D15-Results!D14)+(Results!C14-Results!D14))+Results!D14)</f>
        <v>23</v>
      </c>
      <c r="E14">
        <f>IF(Results!E14&gt;0,Parameters!$B$6,Parameters!$B$7*((Results!E13-Results!E14)+(Results!F14-Results!E14)+(Results!E15-Results!E14)+(Results!D14-Results!E14))+Results!E14)</f>
        <v>23</v>
      </c>
      <c r="F14">
        <f>IF(Results!F14&gt;0,Parameters!$B$6,Parameters!$B$7*((Results!F13-Results!F14)+(Results!G14-Results!F14)+(Results!F15-Results!F14)+(Results!E14-Results!F14))+Results!F14)</f>
        <v>23</v>
      </c>
      <c r="G14">
        <f>IF(Results!G14&gt;0,Parameters!$B$6,Parameters!$B$7*((Results!G13-Results!G14)+(Results!H14-Results!G14)+(Results!G15-Results!G14)+(Results!F14-Results!G14))+Results!G14)</f>
        <v>23</v>
      </c>
      <c r="H14">
        <f>IF(Results!H14&gt;0,Parameters!$B$6,Parameters!$B$7*((Results!H13-Results!H14)+(Results!I14-Results!H14)+(Results!H15-Results!H14)+(Results!G14-Results!H14))+Results!H14)</f>
        <v>-8.5087132827976113</v>
      </c>
      <c r="I14">
        <f>IF(Results!I14&gt;0,Parameters!$B$6,Parameters!$B$7*((Results!I13-Results!I14)+(Results!J14-Results!I14)+(Results!I15-Results!I14)+(Results!H14-Results!I14))+Results!I14)</f>
        <v>-16.398507873357662</v>
      </c>
      <c r="J14">
        <f>IF(Results!J14&gt;0,Parameters!$B$6,Parameters!$B$7*((Results!J13-Results!J14)+(Results!K14-Results!J14)+(Results!J15-Results!J14)+(Results!I14-Results!J14))+Results!J14)</f>
        <v>-18.012103902499714</v>
      </c>
      <c r="K14">
        <f>IF(Results!K14&gt;0,Parameters!$B$6,Parameters!$B$7*((Results!K13-Results!K14)+(Results!L14-Results!K14)+(Results!K15-Results!K14)+(Results!J14-Results!K14))+Results!K14)</f>
        <v>-18.28021213274566</v>
      </c>
      <c r="L14">
        <f>IF(Results!L14&gt;0,Parameters!$B$6,Parameters!$B$7*((Results!L13-Results!L14)+(Results!M14-Results!L14)+(Results!L15-Results!L14)+(Results!K14-Results!L14))+Results!L14)</f>
        <v>-18.28021213274566</v>
      </c>
      <c r="M14">
        <f>IF(Results!M14&gt;0,Parameters!$B$6,Parameters!$B$7*((Results!M13-Results!M14)+(Results!N14-Results!M14)+(Results!M15-Results!M14)+(Results!L14-Results!M14))+Results!M14)</f>
        <v>-18.012103902499714</v>
      </c>
      <c r="N14">
        <f>IF(Results!N14&gt;0,Parameters!$B$6,Parameters!$B$7*((Results!N13-Results!N14)+(Results!O14-Results!N14)+(Results!N15-Results!N14)+(Results!M14-Results!N14))+Results!N14)</f>
        <v>-16.398507873357662</v>
      </c>
      <c r="O14">
        <f>IF(Results!O14&gt;0,Parameters!$B$6,Parameters!$B$7*((Results!O13-Results!O14)+(Results!P14-Results!O14)+(Results!O15-Results!O14)+(Results!N14-Results!O14))+Results!O14)</f>
        <v>-8.5087132827976113</v>
      </c>
      <c r="P14">
        <f>IF(Results!P14&gt;0,Parameters!$B$6,Parameters!$B$7*((Results!P13-Results!P14)+(Results!Q14-Results!P14)+(Results!P15-Results!P14)+(Results!O14-Results!P14))+Results!P14)</f>
        <v>23</v>
      </c>
      <c r="Q14">
        <f>IF(Results!Q14&gt;0,Parameters!$B$6,Parameters!$B$7*((Results!Q13-Results!Q14)+(Results!R14-Results!Q14)+(Results!Q15-Results!Q14)+(Results!P14-Results!Q14))+Results!Q14)</f>
        <v>23</v>
      </c>
      <c r="R14">
        <f>IF(Results!R14&gt;0,Parameters!$B$6,Parameters!$B$7*((Results!R13-Results!R14)+(Results!S14-Results!R14)+(Results!R15-Results!R14)+(Results!Q14-Results!R14))+Results!R14)</f>
        <v>23</v>
      </c>
      <c r="S14">
        <f>IF(Results!S14&gt;0,Parameters!$B$6,Parameters!$B$7*((Results!S13-Results!S14)+(Results!T14-Results!S14)+(Results!S15-Results!S14)+(Results!R14-Results!S14))+Results!S14)</f>
        <v>23</v>
      </c>
      <c r="T14">
        <f>IF(Results!T14&gt;0,Parameters!$B$6,Parameters!$B$7*((Results!T13-Results!T14)+(Results!U14-Results!T14)+(Results!T15-Results!T14)+(Results!S14-Results!T14))+Results!T14)</f>
        <v>23</v>
      </c>
      <c r="U14">
        <v>23</v>
      </c>
    </row>
    <row r="15" spans="1:22" x14ac:dyDescent="0.3">
      <c r="A15">
        <v>14</v>
      </c>
      <c r="B15">
        <v>23</v>
      </c>
      <c r="C15">
        <f>IF(Results!C15&gt;0,Parameters!$B$6,Parameters!$B$7*((Results!C14-Results!C15)+(Results!D15-Results!C15)+(Results!C16-Results!C15)+(Results!B15-Results!C15))+Results!C15)</f>
        <v>23</v>
      </c>
      <c r="D15">
        <f>IF(Results!D15&gt;0,Parameters!$B$6,Parameters!$B$7*((Results!D14-Results!D15)+(Results!E15-Results!D15)+(Results!D16-Results!D15)+(Results!C15-Results!D15))+Results!D15)</f>
        <v>23</v>
      </c>
      <c r="E15">
        <f>IF(Results!E15&gt;0,Parameters!$B$6,Parameters!$B$7*((Results!E14-Results!E15)+(Results!F15-Results!E15)+(Results!E16-Results!E15)+(Results!D15-Results!E15))+Results!E15)</f>
        <v>23</v>
      </c>
      <c r="F15">
        <f>IF(Results!F15&gt;0,Parameters!$B$6,Parameters!$B$7*((Results!F14-Results!F15)+(Results!G15-Results!F15)+(Results!F16-Results!F15)+(Results!E15-Results!F15))+Results!F15)</f>
        <v>23</v>
      </c>
      <c r="G15">
        <f>IF(Results!G15&gt;0,Parameters!$B$6,Parameters!$B$7*((Results!G14-Results!G15)+(Results!H15-Results!G15)+(Results!G16-Results!G15)+(Results!F15-Results!G15))+Results!G15)</f>
        <v>23</v>
      </c>
      <c r="H15">
        <f>IF(Results!H15&gt;0,Parameters!$B$6,Parameters!$B$7*((Results!H14-Results!H15)+(Results!I15-Results!H15)+(Results!H16-Results!H15)+(Results!G15-Results!H15))+Results!H15)</f>
        <v>0.51255687981366549</v>
      </c>
      <c r="I15">
        <f>IF(Results!I15&gt;0,Parameters!$B$6,Parameters!$B$7*((Results!I14-Results!I15)+(Results!J15-Results!I15)+(Results!I16-Results!I15)+(Results!H15-Results!I15))+Results!I15)</f>
        <v>-8.5087132827976113</v>
      </c>
      <c r="J15">
        <f>IF(Results!J15&gt;0,Parameters!$B$6,Parameters!$B$7*((Results!J14-Results!J15)+(Results!K15-Results!J15)+(Results!J16-Results!J15)+(Results!I15-Results!J15))+Results!J15)</f>
        <v>-12.715330703284462</v>
      </c>
      <c r="K15">
        <f>IF(Results!K15&gt;0,Parameters!$B$6,Parameters!$B$7*((Results!K14-Results!K15)+(Results!L15-Results!K15)+(Results!K16-Results!K15)+(Results!J15-Results!K15))+Results!K15)</f>
        <v>-13.186251501660138</v>
      </c>
      <c r="L15">
        <f>IF(Results!L15&gt;0,Parameters!$B$6,Parameters!$B$7*((Results!L14-Results!L15)+(Results!M15-Results!L15)+(Results!L16-Results!L15)+(Results!K15-Results!L15))+Results!L15)</f>
        <v>-13.186251501660138</v>
      </c>
      <c r="M15">
        <f>IF(Results!M15&gt;0,Parameters!$B$6,Parameters!$B$7*((Results!M14-Results!M15)+(Results!N15-Results!M15)+(Results!M16-Results!M15)+(Results!L15-Results!M15))+Results!M15)</f>
        <v>-12.715330703284462</v>
      </c>
      <c r="N15">
        <f>IF(Results!N15&gt;0,Parameters!$B$6,Parameters!$B$7*((Results!N14-Results!N15)+(Results!O15-Results!N15)+(Results!N16-Results!N15)+(Results!M15-Results!N15))+Results!N15)</f>
        <v>-8.5087132827976113</v>
      </c>
      <c r="O15">
        <f>IF(Results!O15&gt;0,Parameters!$B$6,Parameters!$B$7*((Results!O14-Results!O15)+(Results!P15-Results!O15)+(Results!O16-Results!O15)+(Results!N15-Results!O15))+Results!O15)</f>
        <v>0.51255687981366505</v>
      </c>
      <c r="P15">
        <f>IF(Results!P15&gt;0,Parameters!$B$6,Parameters!$B$7*((Results!P14-Results!P15)+(Results!Q15-Results!P15)+(Results!P16-Results!P15)+(Results!O15-Results!P15))+Results!P15)</f>
        <v>23</v>
      </c>
      <c r="Q15">
        <f>IF(Results!Q15&gt;0,Parameters!$B$6,Parameters!$B$7*((Results!Q14-Results!Q15)+(Results!R15-Results!Q15)+(Results!Q16-Results!Q15)+(Results!P15-Results!Q15))+Results!Q15)</f>
        <v>23</v>
      </c>
      <c r="R15">
        <f>IF(Results!R15&gt;0,Parameters!$B$6,Parameters!$B$7*((Results!R14-Results!R15)+(Results!S15-Results!R15)+(Results!R16-Results!R15)+(Results!Q15-Results!R15))+Results!R15)</f>
        <v>23</v>
      </c>
      <c r="S15">
        <f>IF(Results!S15&gt;0,Parameters!$B$6,Parameters!$B$7*((Results!S14-Results!S15)+(Results!T15-Results!S15)+(Results!S16-Results!S15)+(Results!R15-Results!S15))+Results!S15)</f>
        <v>23</v>
      </c>
      <c r="T15">
        <f>IF(Results!T15&gt;0,Parameters!$B$6,Parameters!$B$7*((Results!T14-Results!T15)+(Results!U15-Results!T15)+(Results!T16-Results!T15)+(Results!S15-Results!T15))+Results!T15)</f>
        <v>23</v>
      </c>
      <c r="U15">
        <v>23</v>
      </c>
    </row>
    <row r="16" spans="1:22" x14ac:dyDescent="0.3">
      <c r="A16">
        <v>15</v>
      </c>
      <c r="B16">
        <v>23</v>
      </c>
      <c r="C16">
        <f>IF(Results!C16&gt;0,Parameters!$B$6,Parameters!$B$7*((Results!C15-Results!C16)+(Results!D16-Results!C16)+(Results!C17-Results!C16)+(Results!B16-Results!C16))+Results!C16)</f>
        <v>23</v>
      </c>
      <c r="D16">
        <f>IF(Results!D16&gt;0,Parameters!$B$6,Parameters!$B$7*((Results!D15-Results!D16)+(Results!E16-Results!D16)+(Results!D17-Results!D16)+(Results!C16-Results!D16))+Results!D16)</f>
        <v>23</v>
      </c>
      <c r="E16">
        <f>IF(Results!E16&gt;0,Parameters!$B$6,Parameters!$B$7*((Results!E15-Results!E16)+(Results!F16-Results!E16)+(Results!E17-Results!E16)+(Results!D16-Results!E16))+Results!E16)</f>
        <v>23</v>
      </c>
      <c r="F16">
        <f>IF(Results!F16&gt;0,Parameters!$B$6,Parameters!$B$7*((Results!F15-Results!F16)+(Results!G16-Results!F16)+(Results!F17-Results!F16)+(Results!E16-Results!F16))+Results!F16)</f>
        <v>23</v>
      </c>
      <c r="G16">
        <f>IF(Results!G16&gt;0,Parameters!$B$6,Parameters!$B$7*((Results!G15-Results!G16)+(Results!H16-Results!G16)+(Results!G17-Results!G16)+(Results!F16-Results!G16))+Results!G16)</f>
        <v>23</v>
      </c>
      <c r="H16">
        <f>IF(Results!H16&gt;0,Parameters!$B$6,Parameters!$B$7*((Results!H15-Results!H16)+(Results!I16-Results!H16)+(Results!H17-Results!H16)+(Results!G16-Results!H16))+Results!H16)</f>
        <v>23</v>
      </c>
      <c r="I16">
        <f>IF(Results!I16&gt;0,Parameters!$B$6,Parameters!$B$7*((Results!I15-Results!I16)+(Results!J16-Results!I16)+(Results!I17-Results!I16)+(Results!H16-Results!I16))+Results!I16)</f>
        <v>23</v>
      </c>
      <c r="J16">
        <f>IF(Results!J16&gt;0,Parameters!$B$6,Parameters!$B$7*((Results!J15-Results!J16)+(Results!K16-Results!J16)+(Results!J17-Results!J16)+(Results!I16-Results!J16))+Results!J16)</f>
        <v>23</v>
      </c>
      <c r="K16">
        <f>IF(Results!K16&gt;0,Parameters!$B$6,Parameters!$B$7*((Results!K15-Results!K16)+(Results!L16-Results!K16)+(Results!K17-Results!K16)+(Results!J16-Results!K16))+Results!K16)</f>
        <v>0.28323839206343726</v>
      </c>
      <c r="L16">
        <f>IF(Results!L16&gt;0,Parameters!$B$6,Parameters!$B$7*((Results!L15-Results!L16)+(Results!M16-Results!L16)+(Results!L17-Results!L16)+(Results!K16-Results!L16))+Results!L16)</f>
        <v>0.28323839206343726</v>
      </c>
      <c r="M16">
        <f>IF(Results!M16&gt;0,Parameters!$B$6,Parameters!$B$7*((Results!M15-Results!M16)+(Results!N16-Results!M16)+(Results!M17-Results!M16)+(Results!L16-Results!M16))+Results!M16)</f>
        <v>23</v>
      </c>
      <c r="N16">
        <f>IF(Results!N16&gt;0,Parameters!$B$6,Parameters!$B$7*((Results!N15-Results!N16)+(Results!O16-Results!N16)+(Results!N17-Results!N16)+(Results!M16-Results!N16))+Results!N16)</f>
        <v>23</v>
      </c>
      <c r="O16">
        <f>IF(Results!O16&gt;0,Parameters!$B$6,Parameters!$B$7*((Results!O15-Results!O16)+(Results!P16-Results!O16)+(Results!O17-Results!O16)+(Results!N16-Results!O16))+Results!O16)</f>
        <v>23</v>
      </c>
      <c r="P16">
        <f>IF(Results!P16&gt;0,Parameters!$B$6,Parameters!$B$7*((Results!P15-Results!P16)+(Results!Q16-Results!P16)+(Results!P17-Results!P16)+(Results!O16-Results!P16))+Results!P16)</f>
        <v>23</v>
      </c>
      <c r="Q16">
        <f>IF(Results!Q16&gt;0,Parameters!$B$6,Parameters!$B$7*((Results!Q15-Results!Q16)+(Results!R16-Results!Q16)+(Results!Q17-Results!Q16)+(Results!P16-Results!Q16))+Results!Q16)</f>
        <v>23</v>
      </c>
      <c r="R16">
        <f>IF(Results!R16&gt;0,Parameters!$B$6,Parameters!$B$7*((Results!R15-Results!R16)+(Results!S16-Results!R16)+(Results!R17-Results!R16)+(Results!Q16-Results!R16))+Results!R16)</f>
        <v>23</v>
      </c>
      <c r="S16">
        <f>IF(Results!S16&gt;0,Parameters!$B$6,Parameters!$B$7*((Results!S15-Results!S16)+(Results!T16-Results!S16)+(Results!S17-Results!S16)+(Results!R16-Results!S16))+Results!S16)</f>
        <v>23</v>
      </c>
      <c r="T16">
        <f>IF(Results!T16&gt;0,Parameters!$B$6,Parameters!$B$7*((Results!T15-Results!T16)+(Results!U16-Results!T16)+(Results!T17-Results!T16)+(Results!S16-Results!T16))+Results!T16)</f>
        <v>23</v>
      </c>
      <c r="U16">
        <v>23</v>
      </c>
    </row>
    <row r="17" spans="1:21" x14ac:dyDescent="0.3">
      <c r="A17">
        <v>16</v>
      </c>
      <c r="B17">
        <v>23</v>
      </c>
      <c r="C17">
        <f>IF(Results!C17&gt;0,Parameters!$B$6,Parameters!$B$7*((Results!C16-Results!C17)+(Results!D17-Results!C17)+(Results!C18-Results!C17)+(Results!B17-Results!C17))+Results!C17)</f>
        <v>23</v>
      </c>
      <c r="D17">
        <f>IF(Results!D17&gt;0,Parameters!$B$6,Parameters!$B$7*((Results!D16-Results!D17)+(Results!E17-Results!D17)+(Results!D18-Results!D17)+(Results!C17-Results!D17))+Results!D17)</f>
        <v>23</v>
      </c>
      <c r="E17">
        <f>IF(Results!E17&gt;0,Parameters!$B$6,Parameters!$B$7*((Results!E16-Results!E17)+(Results!F17-Results!E17)+(Results!E18-Results!E17)+(Results!D17-Results!E17))+Results!E17)</f>
        <v>23</v>
      </c>
      <c r="F17">
        <f>IF(Results!F17&gt;0,Parameters!$B$6,Parameters!$B$7*((Results!F16-Results!F17)+(Results!G17-Results!F17)+(Results!F18-Results!F17)+(Results!E17-Results!F17))+Results!F17)</f>
        <v>23</v>
      </c>
      <c r="G17">
        <f>IF(Results!G17&gt;0,Parameters!$B$6,Parameters!$B$7*((Results!G16-Results!G17)+(Results!H17-Results!G17)+(Results!G18-Results!G17)+(Results!F17-Results!G17))+Results!G17)</f>
        <v>23</v>
      </c>
      <c r="H17">
        <f>IF(Results!H17&gt;0,Parameters!$B$6,Parameters!$B$7*((Results!H16-Results!H17)+(Results!I17-Results!H17)+(Results!H18-Results!H17)+(Results!G17-Results!H17))+Results!H17)</f>
        <v>23</v>
      </c>
      <c r="I17">
        <f>IF(Results!I17&gt;0,Parameters!$B$6,Parameters!$B$7*((Results!I16-Results!I17)+(Results!J17-Results!I17)+(Results!I18-Results!I17)+(Results!H17-Results!I17))+Results!I17)</f>
        <v>23</v>
      </c>
      <c r="J17">
        <f>IF(Results!J17&gt;0,Parameters!$B$6,Parameters!$B$7*((Results!J16-Results!J17)+(Results!K17-Results!J17)+(Results!J18-Results!J17)+(Results!I17-Results!J17))+Results!J17)</f>
        <v>23</v>
      </c>
      <c r="K17">
        <f>IF(Results!K17&gt;0,Parameters!$B$6,Parameters!$B$7*((Results!K16-Results!K17)+(Results!L17-Results!K17)+(Results!K18-Results!K17)+(Results!J17-Results!K17))+Results!K17)</f>
        <v>23</v>
      </c>
      <c r="L17">
        <f>IF(Results!L17&gt;0,Parameters!$B$6,Parameters!$B$7*((Results!L16-Results!L17)+(Results!M17-Results!L17)+(Results!L18-Results!L17)+(Results!K17-Results!L17))+Results!L17)</f>
        <v>23</v>
      </c>
      <c r="M17">
        <f>IF(Results!M17&gt;0,Parameters!$B$6,Parameters!$B$7*((Results!M16-Results!M17)+(Results!N17-Results!M17)+(Results!M18-Results!M17)+(Results!L17-Results!M17))+Results!M17)</f>
        <v>23</v>
      </c>
      <c r="N17">
        <f>IF(Results!N17&gt;0,Parameters!$B$6,Parameters!$B$7*((Results!N16-Results!N17)+(Results!O17-Results!N17)+(Results!N18-Results!N17)+(Results!M17-Results!N17))+Results!N17)</f>
        <v>23</v>
      </c>
      <c r="O17">
        <f>IF(Results!O17&gt;0,Parameters!$B$6,Parameters!$B$7*((Results!O16-Results!O17)+(Results!P17-Results!O17)+(Results!O18-Results!O17)+(Results!N17-Results!O17))+Results!O17)</f>
        <v>23</v>
      </c>
      <c r="P17">
        <f>IF(Results!P17&gt;0,Parameters!$B$6,Parameters!$B$7*((Results!P16-Results!P17)+(Results!Q17-Results!P17)+(Results!P18-Results!P17)+(Results!O17-Results!P17))+Results!P17)</f>
        <v>23</v>
      </c>
      <c r="Q17">
        <f>IF(Results!Q17&gt;0,Parameters!$B$6,Parameters!$B$7*((Results!Q16-Results!Q17)+(Results!R17-Results!Q17)+(Results!Q18-Results!Q17)+(Results!P17-Results!Q17))+Results!Q17)</f>
        <v>23</v>
      </c>
      <c r="R17">
        <f>IF(Results!R17&gt;0,Parameters!$B$6,Parameters!$B$7*((Results!R16-Results!R17)+(Results!S17-Results!R17)+(Results!R18-Results!R17)+(Results!Q17-Results!R17))+Results!R17)</f>
        <v>23</v>
      </c>
      <c r="S17">
        <f>IF(Results!S17&gt;0,Parameters!$B$6,Parameters!$B$7*((Results!S16-Results!S17)+(Results!T17-Results!S17)+(Results!S18-Results!S17)+(Results!R17-Results!S17))+Results!S17)</f>
        <v>23</v>
      </c>
      <c r="T17">
        <f>IF(Results!T17&gt;0,Parameters!$B$6,Parameters!$B$7*((Results!T16-Results!T17)+(Results!U17-Results!T17)+(Results!T18-Results!T17)+(Results!S17-Results!T17))+Results!T17)</f>
        <v>23</v>
      </c>
      <c r="U17">
        <v>23</v>
      </c>
    </row>
    <row r="18" spans="1:21" x14ac:dyDescent="0.3">
      <c r="A18">
        <v>17</v>
      </c>
      <c r="B18">
        <v>23</v>
      </c>
      <c r="C18">
        <f>IF(Results!C18&gt;0,Parameters!$B$6,Parameters!$B$7*((Results!C17-Results!C18)+(Results!D18-Results!C18)+(Results!C19-Results!C18)+(Results!B18-Results!C18))+Results!C18)</f>
        <v>23</v>
      </c>
      <c r="D18">
        <f>IF(Results!D18&gt;0,Parameters!$B$6,Parameters!$B$7*((Results!D17-Results!D18)+(Results!E18-Results!D18)+(Results!D19-Results!D18)+(Results!C18-Results!D18))+Results!D18)</f>
        <v>23</v>
      </c>
      <c r="E18">
        <f>IF(Results!E18&gt;0,Parameters!$B$6,Parameters!$B$7*((Results!E17-Results!E18)+(Results!F18-Results!E18)+(Results!E19-Results!E18)+(Results!D18-Results!E18))+Results!E18)</f>
        <v>23</v>
      </c>
      <c r="F18">
        <f>IF(Results!F18&gt;0,Parameters!$B$6,Parameters!$B$7*((Results!F17-Results!F18)+(Results!G18-Results!F18)+(Results!F19-Results!F18)+(Results!E18-Results!F18))+Results!F18)</f>
        <v>23</v>
      </c>
      <c r="G18">
        <f>IF(Results!G18&gt;0,Parameters!$B$6,Parameters!$B$7*((Results!G17-Results!G18)+(Results!H18-Results!G18)+(Results!G19-Results!G18)+(Results!F18-Results!G18))+Results!G18)</f>
        <v>23</v>
      </c>
      <c r="H18">
        <f>IF(Results!H18&gt;0,Parameters!$B$6,Parameters!$B$7*((Results!H17-Results!H18)+(Results!I18-Results!H18)+(Results!H19-Results!H18)+(Results!G18-Results!H18))+Results!H18)</f>
        <v>23</v>
      </c>
      <c r="I18">
        <f>IF(Results!I18&gt;0,Parameters!$B$6,Parameters!$B$7*((Results!I17-Results!I18)+(Results!J18-Results!I18)+(Results!I19-Results!I18)+(Results!H18-Results!I18))+Results!I18)</f>
        <v>23</v>
      </c>
      <c r="J18">
        <f>IF(Results!J18&gt;0,Parameters!$B$6,Parameters!$B$7*((Results!J17-Results!J18)+(Results!K18-Results!J18)+(Results!J19-Results!J18)+(Results!I18-Results!J18))+Results!J18)</f>
        <v>23</v>
      </c>
      <c r="K18">
        <f>IF(Results!K18&gt;0,Parameters!$B$6,Parameters!$B$7*((Results!K17-Results!K18)+(Results!L18-Results!K18)+(Results!K19-Results!K18)+(Results!J18-Results!K18))+Results!K18)</f>
        <v>23</v>
      </c>
      <c r="L18">
        <f>IF(Results!L18&gt;0,Parameters!$B$6,Parameters!$B$7*((Results!L17-Results!L18)+(Results!M18-Results!L18)+(Results!L19-Results!L18)+(Results!K18-Results!L18))+Results!L18)</f>
        <v>23</v>
      </c>
      <c r="M18">
        <f>IF(Results!M18&gt;0,Parameters!$B$6,Parameters!$B$7*((Results!M17-Results!M18)+(Results!N18-Results!M18)+(Results!M19-Results!M18)+(Results!L18-Results!M18))+Results!M18)</f>
        <v>23</v>
      </c>
      <c r="N18">
        <f>IF(Results!N18&gt;0,Parameters!$B$6,Parameters!$B$7*((Results!N17-Results!N18)+(Results!O18-Results!N18)+(Results!N19-Results!N18)+(Results!M18-Results!N18))+Results!N18)</f>
        <v>23</v>
      </c>
      <c r="O18">
        <f>IF(Results!O18&gt;0,Parameters!$B$6,Parameters!$B$7*((Results!O17-Results!O18)+(Results!P18-Results!O18)+(Results!O19-Results!O18)+(Results!N18-Results!O18))+Results!O18)</f>
        <v>23</v>
      </c>
      <c r="P18">
        <f>IF(Results!P18&gt;0,Parameters!$B$6,Parameters!$B$7*((Results!P17-Results!P18)+(Results!Q18-Results!P18)+(Results!P19-Results!P18)+(Results!O18-Results!P18))+Results!P18)</f>
        <v>23</v>
      </c>
      <c r="Q18">
        <f>IF(Results!Q18&gt;0,Parameters!$B$6,Parameters!$B$7*((Results!Q17-Results!Q18)+(Results!R18-Results!Q18)+(Results!Q19-Results!Q18)+(Results!P18-Results!Q18))+Results!Q18)</f>
        <v>23</v>
      </c>
      <c r="R18">
        <f>IF(Results!R18&gt;0,Parameters!$B$6,Parameters!$B$7*((Results!R17-Results!R18)+(Results!S18-Results!R18)+(Results!R19-Results!R18)+(Results!Q18-Results!R18))+Results!R18)</f>
        <v>23</v>
      </c>
      <c r="S18">
        <f>IF(Results!S18&gt;0,Parameters!$B$6,Parameters!$B$7*((Results!S17-Results!S18)+(Results!T18-Results!S18)+(Results!S19-Results!S18)+(Results!R18-Results!S18))+Results!S18)</f>
        <v>23</v>
      </c>
      <c r="T18">
        <f>IF(Results!T18&gt;0,Parameters!$B$6,Parameters!$B$7*((Results!T17-Results!T18)+(Results!U18-Results!T18)+(Results!T19-Results!T18)+(Results!S18-Results!T18))+Results!T18)</f>
        <v>23</v>
      </c>
      <c r="U18">
        <v>23</v>
      </c>
    </row>
    <row r="19" spans="1:21" x14ac:dyDescent="0.3">
      <c r="A19">
        <v>18</v>
      </c>
      <c r="B19">
        <v>23</v>
      </c>
      <c r="C19">
        <f>IF(Results!C19&gt;0,Parameters!$B$6,Parameters!$B$7*((Results!C18-Results!C19)+(Results!D19-Results!C19)+(Results!C20-Results!C19)+(Results!B19-Results!C19))+Results!C19)</f>
        <v>23</v>
      </c>
      <c r="D19">
        <f>IF(Results!D19&gt;0,Parameters!$B$6,Parameters!$B$7*((Results!D18-Results!D19)+(Results!E19-Results!D19)+(Results!D20-Results!D19)+(Results!C19-Results!D19))+Results!D19)</f>
        <v>23</v>
      </c>
      <c r="E19">
        <f>IF(Results!E19&gt;0,Parameters!$B$6,Parameters!$B$7*((Results!E18-Results!E19)+(Results!F19-Results!E19)+(Results!E20-Results!E19)+(Results!D19-Results!E19))+Results!E19)</f>
        <v>23</v>
      </c>
      <c r="F19">
        <f>IF(Results!F19&gt;0,Parameters!$B$6,Parameters!$B$7*((Results!F18-Results!F19)+(Results!G19-Results!F19)+(Results!F20-Results!F19)+(Results!E19-Results!F19))+Results!F19)</f>
        <v>23</v>
      </c>
      <c r="G19">
        <f>IF(Results!G19&gt;0,Parameters!$B$6,Parameters!$B$7*((Results!G18-Results!G19)+(Results!H19-Results!G19)+(Results!G20-Results!G19)+(Results!F19-Results!G19))+Results!G19)</f>
        <v>23</v>
      </c>
      <c r="H19">
        <f>IF(Results!H19&gt;0,Parameters!$B$6,Parameters!$B$7*((Results!H18-Results!H19)+(Results!I19-Results!H19)+(Results!H20-Results!H19)+(Results!G19-Results!H19))+Results!H19)</f>
        <v>23</v>
      </c>
      <c r="I19">
        <f>IF(Results!I19&gt;0,Parameters!$B$6,Parameters!$B$7*((Results!I18-Results!I19)+(Results!J19-Results!I19)+(Results!I20-Results!I19)+(Results!H19-Results!I19))+Results!I19)</f>
        <v>23</v>
      </c>
      <c r="J19">
        <f>IF(Results!J19&gt;0,Parameters!$B$6,Parameters!$B$7*((Results!J18-Results!J19)+(Results!K19-Results!J19)+(Results!J20-Results!J19)+(Results!I19-Results!J19))+Results!J19)</f>
        <v>23</v>
      </c>
      <c r="K19">
        <f>IF(Results!K19&gt;0,Parameters!$B$6,Parameters!$B$7*((Results!K18-Results!K19)+(Results!L19-Results!K19)+(Results!K20-Results!K19)+(Results!J19-Results!K19))+Results!K19)</f>
        <v>23</v>
      </c>
      <c r="L19">
        <f>IF(Results!L19&gt;0,Parameters!$B$6,Parameters!$B$7*((Results!L18-Results!L19)+(Results!M19-Results!L19)+(Results!L20-Results!L19)+(Results!K19-Results!L19))+Results!L19)</f>
        <v>23</v>
      </c>
      <c r="M19">
        <f>IF(Results!M19&gt;0,Parameters!$B$6,Parameters!$B$7*((Results!M18-Results!M19)+(Results!N19-Results!M19)+(Results!M20-Results!M19)+(Results!L19-Results!M19))+Results!M19)</f>
        <v>23</v>
      </c>
      <c r="N19">
        <f>IF(Results!N19&gt;0,Parameters!$B$6,Parameters!$B$7*((Results!N18-Results!N19)+(Results!O19-Results!N19)+(Results!N20-Results!N19)+(Results!M19-Results!N19))+Results!N19)</f>
        <v>23</v>
      </c>
      <c r="O19">
        <f>IF(Results!O19&gt;0,Parameters!$B$6,Parameters!$B$7*((Results!O18-Results!O19)+(Results!P19-Results!O19)+(Results!O20-Results!O19)+(Results!N19-Results!O19))+Results!O19)</f>
        <v>23</v>
      </c>
      <c r="P19">
        <f>IF(Results!P19&gt;0,Parameters!$B$6,Parameters!$B$7*((Results!P18-Results!P19)+(Results!Q19-Results!P19)+(Results!P20-Results!P19)+(Results!O19-Results!P19))+Results!P19)</f>
        <v>23</v>
      </c>
      <c r="Q19">
        <f>IF(Results!Q19&gt;0,Parameters!$B$6,Parameters!$B$7*((Results!Q18-Results!Q19)+(Results!R19-Results!Q19)+(Results!Q20-Results!Q19)+(Results!P19-Results!Q19))+Results!Q19)</f>
        <v>23</v>
      </c>
      <c r="R19">
        <f>IF(Results!R19&gt;0,Parameters!$B$6,Parameters!$B$7*((Results!R18-Results!R19)+(Results!S19-Results!R19)+(Results!R20-Results!R19)+(Results!Q19-Results!R19))+Results!R19)</f>
        <v>23</v>
      </c>
      <c r="S19">
        <f>IF(Results!S19&gt;0,Parameters!$B$6,Parameters!$B$7*((Results!S18-Results!S19)+(Results!T19-Results!S19)+(Results!S20-Results!S19)+(Results!R19-Results!S19))+Results!S19)</f>
        <v>23</v>
      </c>
      <c r="T19">
        <f>IF(Results!T19&gt;0,Parameters!$B$6,Parameters!$B$7*((Results!T18-Results!T19)+(Results!U19-Results!T19)+(Results!T20-Results!T19)+(Results!S19-Results!T19))+Results!T19)</f>
        <v>23</v>
      </c>
      <c r="U19">
        <v>23</v>
      </c>
    </row>
    <row r="20" spans="1:21" x14ac:dyDescent="0.3">
      <c r="A20">
        <v>19</v>
      </c>
      <c r="B20">
        <v>23</v>
      </c>
      <c r="C20">
        <f>IF(Results!C20&gt;0,Parameters!$B$6,Parameters!$B$7*((Results!C19-Results!C20)+(Results!D20-Results!C20)+(Results!C21-Results!C20)+(Results!B20-Results!C20))+Results!C20)</f>
        <v>23</v>
      </c>
      <c r="D20">
        <f>IF(Results!D20&gt;0,Parameters!$B$6,Parameters!$B$7*((Results!D19-Results!D20)+(Results!E20-Results!D20)+(Results!D21-Results!D20)+(Results!C20-Results!D20))+Results!D20)</f>
        <v>23</v>
      </c>
      <c r="E20">
        <f>IF(Results!E20&gt;0,Parameters!$B$6,Parameters!$B$7*((Results!E19-Results!E20)+(Results!F20-Results!E20)+(Results!E21-Results!E20)+(Results!D20-Results!E20))+Results!E20)</f>
        <v>23</v>
      </c>
      <c r="F20">
        <f>IF(Results!F20&gt;0,Parameters!$B$6,Parameters!$B$7*((Results!F19-Results!F20)+(Results!G20-Results!F20)+(Results!F21-Results!F20)+(Results!E20-Results!F20))+Results!F20)</f>
        <v>23</v>
      </c>
      <c r="G20">
        <f>IF(Results!G20&gt;0,Parameters!$B$6,Parameters!$B$7*((Results!G19-Results!G20)+(Results!H20-Results!G20)+(Results!G21-Results!G20)+(Results!F20-Results!G20))+Results!G20)</f>
        <v>23</v>
      </c>
      <c r="H20">
        <f>IF(Results!H20&gt;0,Parameters!$B$6,Parameters!$B$7*((Results!H19-Results!H20)+(Results!I20-Results!H20)+(Results!H21-Results!H20)+(Results!G20-Results!H20))+Results!H20)</f>
        <v>23</v>
      </c>
      <c r="I20">
        <f>IF(Results!I20&gt;0,Parameters!$B$6,Parameters!$B$7*((Results!I19-Results!I20)+(Results!J20-Results!I20)+(Results!I21-Results!I20)+(Results!H20-Results!I20))+Results!I20)</f>
        <v>23</v>
      </c>
      <c r="J20">
        <f>IF(Results!J20&gt;0,Parameters!$B$6,Parameters!$B$7*((Results!J19-Results!J20)+(Results!K20-Results!J20)+(Results!J21-Results!J20)+(Results!I20-Results!J20))+Results!J20)</f>
        <v>23</v>
      </c>
      <c r="K20">
        <f>IF(Results!K20&gt;0,Parameters!$B$6,Parameters!$B$7*((Results!K19-Results!K20)+(Results!L20-Results!K20)+(Results!K21-Results!K20)+(Results!J20-Results!K20))+Results!K20)</f>
        <v>23</v>
      </c>
      <c r="L20">
        <f>IF(Results!L20&gt;0,Parameters!$B$6,Parameters!$B$7*((Results!L19-Results!L20)+(Results!M20-Results!L20)+(Results!L21-Results!L20)+(Results!K20-Results!L20))+Results!L20)</f>
        <v>23</v>
      </c>
      <c r="M20">
        <f>IF(Results!M20&gt;0,Parameters!$B$6,Parameters!$B$7*((Results!M19-Results!M20)+(Results!N20-Results!M20)+(Results!M21-Results!M20)+(Results!L20-Results!M20))+Results!M20)</f>
        <v>23</v>
      </c>
      <c r="N20">
        <f>IF(Results!N20&gt;0,Parameters!$B$6,Parameters!$B$7*((Results!N19-Results!N20)+(Results!O20-Results!N20)+(Results!N21-Results!N20)+(Results!M20-Results!N20))+Results!N20)</f>
        <v>23</v>
      </c>
      <c r="O20">
        <f>IF(Results!O20&gt;0,Parameters!$B$6,Parameters!$B$7*((Results!O19-Results!O20)+(Results!P20-Results!O20)+(Results!O21-Results!O20)+(Results!N20-Results!O20))+Results!O20)</f>
        <v>23</v>
      </c>
      <c r="P20">
        <f>IF(Results!P20&gt;0,Parameters!$B$6,Parameters!$B$7*((Results!P19-Results!P20)+(Results!Q20-Results!P20)+(Results!P21-Results!P20)+(Results!O20-Results!P20))+Results!P20)</f>
        <v>23</v>
      </c>
      <c r="Q20">
        <f>IF(Results!Q20&gt;0,Parameters!$B$6,Parameters!$B$7*((Results!Q19-Results!Q20)+(Results!R20-Results!Q20)+(Results!Q21-Results!Q20)+(Results!P20-Results!Q20))+Results!Q20)</f>
        <v>23</v>
      </c>
      <c r="R20">
        <f>IF(Results!R20&gt;0,Parameters!$B$6,Parameters!$B$7*((Results!R19-Results!R20)+(Results!S20-Results!R20)+(Results!R21-Results!R20)+(Results!Q20-Results!R20))+Results!R20)</f>
        <v>23</v>
      </c>
      <c r="S20">
        <f>IF(Results!S20&gt;0,Parameters!$B$6,Parameters!$B$7*((Results!S19-Results!S20)+(Results!T20-Results!S20)+(Results!S21-Results!S20)+(Results!R20-Results!S20))+Results!S20)</f>
        <v>23</v>
      </c>
      <c r="T20">
        <f>IF(Results!T20&gt;0,Parameters!$B$6,Parameters!$B$7*((Results!T19-Results!T20)+(Results!U20-Results!T20)+(Results!T21-Results!T20)+(Results!S20-Results!T20))+Results!T20)</f>
        <v>23</v>
      </c>
      <c r="U20">
        <v>23</v>
      </c>
    </row>
    <row r="21" spans="1:21" x14ac:dyDescent="0.3">
      <c r="A21">
        <v>20</v>
      </c>
      <c r="B21">
        <v>23</v>
      </c>
      <c r="C21">
        <v>23</v>
      </c>
      <c r="D21">
        <v>23</v>
      </c>
      <c r="E21">
        <v>23</v>
      </c>
      <c r="F21">
        <v>23</v>
      </c>
      <c r="G21">
        <v>23</v>
      </c>
      <c r="H21">
        <v>23</v>
      </c>
      <c r="I21">
        <v>23</v>
      </c>
      <c r="J21">
        <v>23</v>
      </c>
      <c r="K21">
        <v>23</v>
      </c>
      <c r="L21">
        <v>23</v>
      </c>
      <c r="M21">
        <v>23</v>
      </c>
      <c r="N21">
        <v>23</v>
      </c>
      <c r="O21">
        <v>23</v>
      </c>
      <c r="P21">
        <v>23</v>
      </c>
      <c r="Q21">
        <v>23</v>
      </c>
      <c r="R21">
        <v>23</v>
      </c>
      <c r="S21">
        <v>23</v>
      </c>
      <c r="T21">
        <v>23</v>
      </c>
      <c r="U21">
        <v>23</v>
      </c>
    </row>
  </sheetData>
  <conditionalFormatting sqref="B2:U21">
    <cfRule type="colorScale" priority="1">
      <colorScale>
        <cfvo type="num" val="-20"/>
        <cfvo type="num" val="0"/>
        <color theme="4"/>
        <color theme="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21ED-E89C-4835-B1D2-710037E3DC7F}">
  <sheetPr codeName="Sheet3"/>
  <dimension ref="A1:AR21"/>
  <sheetViews>
    <sheetView tabSelected="1" workbookViewId="0"/>
  </sheetViews>
  <sheetFormatPr defaultRowHeight="14.4" x14ac:dyDescent="0.3"/>
  <cols>
    <col min="1" max="1" width="3" bestFit="1" customWidth="1"/>
    <col min="2" max="21" width="3.33203125" customWidth="1"/>
    <col min="22" max="22" width="9.6640625" bestFit="1" customWidth="1"/>
    <col min="25" max="44" width="3.6640625" customWidth="1"/>
  </cols>
  <sheetData>
    <row r="1" spans="1:44" ht="15" thickBot="1" x14ac:dyDescent="0.35">
      <c r="A1" s="5"/>
      <c r="B1" s="16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H1" s="16">
        <v>7</v>
      </c>
      <c r="I1" s="16">
        <v>8</v>
      </c>
      <c r="J1" s="16">
        <v>9</v>
      </c>
      <c r="K1" s="16">
        <v>10</v>
      </c>
      <c r="L1" s="16">
        <v>11</v>
      </c>
      <c r="M1" s="16">
        <v>12</v>
      </c>
      <c r="N1" s="16">
        <v>13</v>
      </c>
      <c r="O1" s="16">
        <v>14</v>
      </c>
      <c r="P1" s="16">
        <v>15</v>
      </c>
      <c r="Q1" s="16">
        <v>16</v>
      </c>
      <c r="R1" s="16">
        <v>17</v>
      </c>
      <c r="S1" s="16">
        <v>18</v>
      </c>
      <c r="T1" s="16">
        <v>19</v>
      </c>
      <c r="U1" s="16">
        <v>20</v>
      </c>
      <c r="V1" s="3" t="s">
        <v>11</v>
      </c>
      <c r="W1" s="1">
        <v>160</v>
      </c>
      <c r="X1" s="1" t="str">
        <f>Parameters!$C$2</f>
        <v>s</v>
      </c>
      <c r="Y1" s="16">
        <v>1</v>
      </c>
      <c r="Z1" s="16">
        <v>2</v>
      </c>
      <c r="AA1" s="16">
        <v>3</v>
      </c>
      <c r="AB1" s="16">
        <v>4</v>
      </c>
      <c r="AC1" s="16">
        <v>5</v>
      </c>
      <c r="AD1" s="16">
        <v>6</v>
      </c>
      <c r="AE1" s="16">
        <v>7</v>
      </c>
      <c r="AF1" s="16">
        <v>8</v>
      </c>
      <c r="AG1" s="16">
        <v>9</v>
      </c>
      <c r="AH1" s="16">
        <v>10</v>
      </c>
      <c r="AI1" s="16">
        <v>11</v>
      </c>
      <c r="AJ1" s="16">
        <v>12</v>
      </c>
      <c r="AK1" s="16">
        <v>13</v>
      </c>
      <c r="AL1" s="16">
        <v>14</v>
      </c>
      <c r="AM1" s="16">
        <v>15</v>
      </c>
      <c r="AN1" s="16">
        <v>16</v>
      </c>
      <c r="AO1" s="16">
        <v>17</v>
      </c>
      <c r="AP1" s="16">
        <v>18</v>
      </c>
      <c r="AQ1" s="16">
        <v>19</v>
      </c>
      <c r="AR1" s="16">
        <v>20</v>
      </c>
    </row>
    <row r="2" spans="1:44" ht="16.8" customHeight="1" x14ac:dyDescent="0.3">
      <c r="A2" s="15">
        <v>1</v>
      </c>
      <c r="B2" s="10">
        <v>23</v>
      </c>
      <c r="C2" s="11">
        <v>23</v>
      </c>
      <c r="D2" s="11">
        <v>23</v>
      </c>
      <c r="E2" s="11">
        <v>23</v>
      </c>
      <c r="F2" s="11">
        <v>23</v>
      </c>
      <c r="G2" s="11">
        <v>23</v>
      </c>
      <c r="H2" s="11">
        <v>23</v>
      </c>
      <c r="I2" s="11">
        <v>23</v>
      </c>
      <c r="J2" s="11">
        <v>23</v>
      </c>
      <c r="K2" s="11">
        <v>23</v>
      </c>
      <c r="L2" s="11">
        <v>23</v>
      </c>
      <c r="M2" s="11">
        <v>23</v>
      </c>
      <c r="N2" s="11">
        <v>23</v>
      </c>
      <c r="O2" s="11">
        <v>23</v>
      </c>
      <c r="P2" s="11">
        <v>23</v>
      </c>
      <c r="Q2" s="11">
        <v>23</v>
      </c>
      <c r="R2" s="11">
        <v>23</v>
      </c>
      <c r="S2" s="11">
        <v>23</v>
      </c>
      <c r="T2" s="11">
        <v>23</v>
      </c>
      <c r="U2" s="12">
        <v>23</v>
      </c>
      <c r="V2" s="4" t="s">
        <v>2</v>
      </c>
      <c r="W2" s="1">
        <f>SUM(Y2:AR21)</f>
        <v>72</v>
      </c>
      <c r="X2" s="17" t="str">
        <f>Parameters!C4</f>
        <v>mm^2</v>
      </c>
      <c r="Y2" s="10">
        <f>IF(B2&lt;0,1,0)</f>
        <v>0</v>
      </c>
      <c r="Z2" s="11">
        <f t="shared" ref="Z2:AR2" si="0">IF(C2&lt;0,1,0)</f>
        <v>0</v>
      </c>
      <c r="AA2" s="11">
        <f t="shared" si="0"/>
        <v>0</v>
      </c>
      <c r="AB2" s="11">
        <f t="shared" si="0"/>
        <v>0</v>
      </c>
      <c r="AC2" s="11">
        <f t="shared" si="0"/>
        <v>0</v>
      </c>
      <c r="AD2" s="11">
        <f t="shared" si="0"/>
        <v>0</v>
      </c>
      <c r="AE2" s="11">
        <f t="shared" si="0"/>
        <v>0</v>
      </c>
      <c r="AF2" s="11">
        <f t="shared" si="0"/>
        <v>0</v>
      </c>
      <c r="AG2" s="11">
        <f t="shared" si="0"/>
        <v>0</v>
      </c>
      <c r="AH2" s="11">
        <f t="shared" si="0"/>
        <v>0</v>
      </c>
      <c r="AI2" s="11">
        <f t="shared" si="0"/>
        <v>0</v>
      </c>
      <c r="AJ2" s="11">
        <f t="shared" si="0"/>
        <v>0</v>
      </c>
      <c r="AK2" s="11">
        <f t="shared" si="0"/>
        <v>0</v>
      </c>
      <c r="AL2" s="11">
        <f t="shared" si="0"/>
        <v>0</v>
      </c>
      <c r="AM2" s="11">
        <f t="shared" si="0"/>
        <v>0</v>
      </c>
      <c r="AN2" s="11">
        <f t="shared" si="0"/>
        <v>0</v>
      </c>
      <c r="AO2" s="11">
        <f t="shared" si="0"/>
        <v>0</v>
      </c>
      <c r="AP2" s="11">
        <f t="shared" si="0"/>
        <v>0</v>
      </c>
      <c r="AQ2" s="11">
        <f t="shared" si="0"/>
        <v>0</v>
      </c>
      <c r="AR2" s="12">
        <f t="shared" si="0"/>
        <v>0</v>
      </c>
    </row>
    <row r="3" spans="1:44" ht="16.8" customHeight="1" x14ac:dyDescent="0.3">
      <c r="A3" s="15">
        <v>2</v>
      </c>
      <c r="B3" s="13">
        <v>23</v>
      </c>
      <c r="C3" s="6">
        <v>23</v>
      </c>
      <c r="D3" s="6">
        <v>23</v>
      </c>
      <c r="E3" s="6">
        <v>23</v>
      </c>
      <c r="F3" s="6">
        <v>23</v>
      </c>
      <c r="G3" s="6">
        <v>23</v>
      </c>
      <c r="H3" s="6">
        <v>23</v>
      </c>
      <c r="I3" s="6">
        <v>23</v>
      </c>
      <c r="J3" s="6">
        <v>23</v>
      </c>
      <c r="K3" s="6">
        <v>23</v>
      </c>
      <c r="L3" s="6">
        <v>23</v>
      </c>
      <c r="M3" s="6">
        <v>23</v>
      </c>
      <c r="N3" s="6">
        <v>23</v>
      </c>
      <c r="O3" s="6">
        <v>23</v>
      </c>
      <c r="P3" s="6">
        <v>23</v>
      </c>
      <c r="Q3" s="6">
        <v>23</v>
      </c>
      <c r="R3" s="6">
        <v>23</v>
      </c>
      <c r="S3" s="6">
        <v>23</v>
      </c>
      <c r="T3" s="6">
        <v>23</v>
      </c>
      <c r="U3" s="7">
        <v>23</v>
      </c>
      <c r="V3" s="2"/>
      <c r="Y3" s="13">
        <f t="shared" ref="Y3:Y21" si="1">IF(B3&lt;0,1,0)</f>
        <v>0</v>
      </c>
      <c r="Z3" s="6">
        <f t="shared" ref="Z3:Z21" si="2">IF(C3&lt;0,1,0)</f>
        <v>0</v>
      </c>
      <c r="AA3" s="6">
        <f t="shared" ref="AA3:AA21" si="3">IF(D3&lt;0,1,0)</f>
        <v>0</v>
      </c>
      <c r="AB3" s="6">
        <f t="shared" ref="AB3:AB21" si="4">IF(E3&lt;0,1,0)</f>
        <v>0</v>
      </c>
      <c r="AC3" s="6">
        <f t="shared" ref="AC3:AC21" si="5">IF(F3&lt;0,1,0)</f>
        <v>0</v>
      </c>
      <c r="AD3" s="6">
        <f t="shared" ref="AD3:AD21" si="6">IF(G3&lt;0,1,0)</f>
        <v>0</v>
      </c>
      <c r="AE3" s="6">
        <f t="shared" ref="AE3:AE21" si="7">IF(H3&lt;0,1,0)</f>
        <v>0</v>
      </c>
      <c r="AF3" s="6">
        <f t="shared" ref="AF3:AF21" si="8">IF(I3&lt;0,1,0)</f>
        <v>0</v>
      </c>
      <c r="AG3" s="6">
        <f t="shared" ref="AG3:AG21" si="9">IF(J3&lt;0,1,0)</f>
        <v>0</v>
      </c>
      <c r="AH3" s="6">
        <f t="shared" ref="AH3:AH21" si="10">IF(K3&lt;0,1,0)</f>
        <v>0</v>
      </c>
      <c r="AI3" s="6">
        <f t="shared" ref="AI3:AI21" si="11">IF(L3&lt;0,1,0)</f>
        <v>0</v>
      </c>
      <c r="AJ3" s="6">
        <f t="shared" ref="AJ3:AJ21" si="12">IF(M3&lt;0,1,0)</f>
        <v>0</v>
      </c>
      <c r="AK3" s="6">
        <f t="shared" ref="AK3:AK21" si="13">IF(N3&lt;0,1,0)</f>
        <v>0</v>
      </c>
      <c r="AL3" s="6">
        <f t="shared" ref="AL3:AL21" si="14">IF(O3&lt;0,1,0)</f>
        <v>0</v>
      </c>
      <c r="AM3" s="6">
        <f t="shared" ref="AM3:AM21" si="15">IF(P3&lt;0,1,0)</f>
        <v>0</v>
      </c>
      <c r="AN3" s="6">
        <f t="shared" ref="AN3:AN21" si="16">IF(Q3&lt;0,1,0)</f>
        <v>0</v>
      </c>
      <c r="AO3" s="6">
        <f t="shared" ref="AO3:AO21" si="17">IF(R3&lt;0,1,0)</f>
        <v>0</v>
      </c>
      <c r="AP3" s="6">
        <f t="shared" ref="AP3:AP21" si="18">IF(S3&lt;0,1,0)</f>
        <v>0</v>
      </c>
      <c r="AQ3" s="6">
        <f t="shared" ref="AQ3:AQ21" si="19">IF(T3&lt;0,1,0)</f>
        <v>0</v>
      </c>
      <c r="AR3" s="7">
        <f t="shared" ref="AR3:AR21" si="20">IF(U3&lt;0,1,0)</f>
        <v>0</v>
      </c>
    </row>
    <row r="4" spans="1:44" ht="16.8" customHeight="1" x14ac:dyDescent="0.3">
      <c r="A4" s="15">
        <v>3</v>
      </c>
      <c r="B4" s="13">
        <v>23</v>
      </c>
      <c r="C4" s="6">
        <v>23</v>
      </c>
      <c r="D4" s="6">
        <v>23</v>
      </c>
      <c r="E4" s="6">
        <v>23</v>
      </c>
      <c r="F4" s="6">
        <v>23</v>
      </c>
      <c r="G4" s="6">
        <v>23</v>
      </c>
      <c r="H4" s="6">
        <v>23</v>
      </c>
      <c r="I4" s="6">
        <v>23</v>
      </c>
      <c r="J4" s="6">
        <v>23</v>
      </c>
      <c r="K4" s="6">
        <v>23</v>
      </c>
      <c r="L4" s="6">
        <v>23</v>
      </c>
      <c r="M4" s="6">
        <v>23</v>
      </c>
      <c r="N4" s="6">
        <v>23</v>
      </c>
      <c r="O4" s="6">
        <v>23</v>
      </c>
      <c r="P4" s="6">
        <v>23</v>
      </c>
      <c r="Q4" s="6">
        <v>23</v>
      </c>
      <c r="R4" s="6">
        <v>23</v>
      </c>
      <c r="S4" s="6">
        <v>23</v>
      </c>
      <c r="T4" s="6">
        <v>23</v>
      </c>
      <c r="U4" s="7">
        <v>23</v>
      </c>
      <c r="V4" s="2"/>
      <c r="Y4" s="13">
        <f t="shared" si="1"/>
        <v>0</v>
      </c>
      <c r="Z4" s="6">
        <f t="shared" si="2"/>
        <v>0</v>
      </c>
      <c r="AA4" s="6">
        <f t="shared" si="3"/>
        <v>0</v>
      </c>
      <c r="AB4" s="6">
        <f t="shared" si="4"/>
        <v>0</v>
      </c>
      <c r="AC4" s="6">
        <f t="shared" si="5"/>
        <v>0</v>
      </c>
      <c r="AD4" s="6">
        <f t="shared" si="6"/>
        <v>0</v>
      </c>
      <c r="AE4" s="6">
        <f t="shared" si="7"/>
        <v>0</v>
      </c>
      <c r="AF4" s="6">
        <f t="shared" si="8"/>
        <v>0</v>
      </c>
      <c r="AG4" s="6">
        <f t="shared" si="9"/>
        <v>0</v>
      </c>
      <c r="AH4" s="6">
        <f t="shared" si="10"/>
        <v>0</v>
      </c>
      <c r="AI4" s="6">
        <f t="shared" si="11"/>
        <v>0</v>
      </c>
      <c r="AJ4" s="6">
        <f t="shared" si="12"/>
        <v>0</v>
      </c>
      <c r="AK4" s="6">
        <f t="shared" si="13"/>
        <v>0</v>
      </c>
      <c r="AL4" s="6">
        <f t="shared" si="14"/>
        <v>0</v>
      </c>
      <c r="AM4" s="6">
        <f t="shared" si="15"/>
        <v>0</v>
      </c>
      <c r="AN4" s="6">
        <f t="shared" si="16"/>
        <v>0</v>
      </c>
      <c r="AO4" s="6">
        <f t="shared" si="17"/>
        <v>0</v>
      </c>
      <c r="AP4" s="6">
        <f t="shared" si="18"/>
        <v>0</v>
      </c>
      <c r="AQ4" s="6">
        <f t="shared" si="19"/>
        <v>0</v>
      </c>
      <c r="AR4" s="7">
        <f t="shared" si="20"/>
        <v>0</v>
      </c>
    </row>
    <row r="5" spans="1:44" ht="16.8" customHeight="1" x14ac:dyDescent="0.3">
      <c r="A5" s="15">
        <v>4</v>
      </c>
      <c r="B5" s="13">
        <v>23</v>
      </c>
      <c r="C5" s="6">
        <v>23</v>
      </c>
      <c r="D5" s="6">
        <v>23</v>
      </c>
      <c r="E5" s="6">
        <v>23</v>
      </c>
      <c r="F5" s="6">
        <v>23</v>
      </c>
      <c r="G5" s="6">
        <v>23</v>
      </c>
      <c r="H5" s="6">
        <v>23</v>
      </c>
      <c r="I5" s="6">
        <v>23</v>
      </c>
      <c r="J5" s="6">
        <v>23</v>
      </c>
      <c r="K5" s="6">
        <v>23</v>
      </c>
      <c r="L5" s="6">
        <v>23</v>
      </c>
      <c r="M5" s="6">
        <v>23</v>
      </c>
      <c r="N5" s="6">
        <v>23</v>
      </c>
      <c r="O5" s="6">
        <v>23</v>
      </c>
      <c r="P5" s="6">
        <v>23</v>
      </c>
      <c r="Q5" s="6">
        <v>23</v>
      </c>
      <c r="R5" s="6">
        <v>23</v>
      </c>
      <c r="S5" s="6">
        <v>23</v>
      </c>
      <c r="T5" s="6">
        <v>23</v>
      </c>
      <c r="U5" s="7">
        <v>23</v>
      </c>
      <c r="V5" s="2"/>
      <c r="Y5" s="13">
        <f t="shared" si="1"/>
        <v>0</v>
      </c>
      <c r="Z5" s="6">
        <f t="shared" si="2"/>
        <v>0</v>
      </c>
      <c r="AA5" s="6">
        <f t="shared" si="3"/>
        <v>0</v>
      </c>
      <c r="AB5" s="6">
        <f t="shared" si="4"/>
        <v>0</v>
      </c>
      <c r="AC5" s="6">
        <f t="shared" si="5"/>
        <v>0</v>
      </c>
      <c r="AD5" s="6">
        <f t="shared" si="6"/>
        <v>0</v>
      </c>
      <c r="AE5" s="6">
        <f t="shared" si="7"/>
        <v>0</v>
      </c>
      <c r="AF5" s="6">
        <f t="shared" si="8"/>
        <v>0</v>
      </c>
      <c r="AG5" s="6">
        <f t="shared" si="9"/>
        <v>0</v>
      </c>
      <c r="AH5" s="6">
        <f t="shared" si="10"/>
        <v>0</v>
      </c>
      <c r="AI5" s="6">
        <f t="shared" si="11"/>
        <v>0</v>
      </c>
      <c r="AJ5" s="6">
        <f t="shared" si="12"/>
        <v>0</v>
      </c>
      <c r="AK5" s="6">
        <f t="shared" si="13"/>
        <v>0</v>
      </c>
      <c r="AL5" s="6">
        <f t="shared" si="14"/>
        <v>0</v>
      </c>
      <c r="AM5" s="6">
        <f t="shared" si="15"/>
        <v>0</v>
      </c>
      <c r="AN5" s="6">
        <f t="shared" si="16"/>
        <v>0</v>
      </c>
      <c r="AO5" s="6">
        <f t="shared" si="17"/>
        <v>0</v>
      </c>
      <c r="AP5" s="6">
        <f t="shared" si="18"/>
        <v>0</v>
      </c>
      <c r="AQ5" s="6">
        <f t="shared" si="19"/>
        <v>0</v>
      </c>
      <c r="AR5" s="7">
        <f t="shared" si="20"/>
        <v>0</v>
      </c>
    </row>
    <row r="6" spans="1:44" ht="16.8" customHeight="1" thickBot="1" x14ac:dyDescent="0.35">
      <c r="A6" s="15">
        <v>5</v>
      </c>
      <c r="B6" s="13">
        <v>23</v>
      </c>
      <c r="C6" s="6">
        <v>23</v>
      </c>
      <c r="D6" s="6">
        <v>23</v>
      </c>
      <c r="E6" s="6">
        <v>23</v>
      </c>
      <c r="F6" s="6">
        <v>23</v>
      </c>
      <c r="G6" s="6">
        <v>23</v>
      </c>
      <c r="H6" s="6">
        <v>23</v>
      </c>
      <c r="I6" s="6">
        <v>23</v>
      </c>
      <c r="J6" s="6">
        <v>23</v>
      </c>
      <c r="K6" s="6">
        <v>23</v>
      </c>
      <c r="L6" s="6">
        <v>23</v>
      </c>
      <c r="M6" s="6">
        <v>23</v>
      </c>
      <c r="N6" s="6">
        <v>23</v>
      </c>
      <c r="O6" s="6">
        <v>23</v>
      </c>
      <c r="P6" s="6">
        <v>23</v>
      </c>
      <c r="Q6" s="6">
        <v>23</v>
      </c>
      <c r="R6" s="6">
        <v>23</v>
      </c>
      <c r="S6" s="6">
        <v>23</v>
      </c>
      <c r="T6" s="6">
        <v>23</v>
      </c>
      <c r="U6" s="7">
        <v>23</v>
      </c>
      <c r="V6" s="2"/>
      <c r="Y6" s="13">
        <f t="shared" si="1"/>
        <v>0</v>
      </c>
      <c r="Z6" s="6">
        <f t="shared" si="2"/>
        <v>0</v>
      </c>
      <c r="AA6" s="6">
        <f t="shared" si="3"/>
        <v>0</v>
      </c>
      <c r="AB6" s="6">
        <f t="shared" si="4"/>
        <v>0</v>
      </c>
      <c r="AC6" s="6">
        <f t="shared" si="5"/>
        <v>0</v>
      </c>
      <c r="AD6" s="6">
        <f t="shared" si="6"/>
        <v>0</v>
      </c>
      <c r="AE6" s="6">
        <f t="shared" si="7"/>
        <v>0</v>
      </c>
      <c r="AF6" s="6">
        <f t="shared" si="8"/>
        <v>0</v>
      </c>
      <c r="AG6" s="6">
        <f t="shared" si="9"/>
        <v>0</v>
      </c>
      <c r="AH6" s="6">
        <f t="shared" si="10"/>
        <v>0</v>
      </c>
      <c r="AI6" s="6">
        <f t="shared" si="11"/>
        <v>0</v>
      </c>
      <c r="AJ6" s="6">
        <f t="shared" si="12"/>
        <v>0</v>
      </c>
      <c r="AK6" s="6">
        <f t="shared" si="13"/>
        <v>0</v>
      </c>
      <c r="AL6" s="6">
        <f t="shared" si="14"/>
        <v>0</v>
      </c>
      <c r="AM6" s="6">
        <f t="shared" si="15"/>
        <v>0</v>
      </c>
      <c r="AN6" s="6">
        <f t="shared" si="16"/>
        <v>0</v>
      </c>
      <c r="AO6" s="6">
        <f t="shared" si="17"/>
        <v>0</v>
      </c>
      <c r="AP6" s="6">
        <f t="shared" si="18"/>
        <v>0</v>
      </c>
      <c r="AQ6" s="6">
        <f t="shared" si="19"/>
        <v>0</v>
      </c>
      <c r="AR6" s="7">
        <f t="shared" si="20"/>
        <v>0</v>
      </c>
    </row>
    <row r="7" spans="1:44" ht="16.8" customHeight="1" x14ac:dyDescent="0.3">
      <c r="A7" s="15">
        <v>6</v>
      </c>
      <c r="B7" s="13">
        <v>23</v>
      </c>
      <c r="C7" s="6">
        <v>23</v>
      </c>
      <c r="D7" s="6">
        <v>23</v>
      </c>
      <c r="E7" s="6">
        <v>23</v>
      </c>
      <c r="F7" s="31">
        <v>23</v>
      </c>
      <c r="G7" s="32">
        <v>23</v>
      </c>
      <c r="H7" s="33">
        <v>23</v>
      </c>
      <c r="I7" s="33">
        <v>23</v>
      </c>
      <c r="J7" s="33">
        <v>1.2000241089148944</v>
      </c>
      <c r="K7" s="33">
        <v>-0.35455333511082987</v>
      </c>
      <c r="L7" s="33">
        <v>-0.35455333511082987</v>
      </c>
      <c r="M7" s="33">
        <v>1.2000241089148944</v>
      </c>
      <c r="N7" s="33">
        <v>23</v>
      </c>
      <c r="O7" s="33">
        <v>23</v>
      </c>
      <c r="P7" s="34">
        <v>23</v>
      </c>
      <c r="Q7" s="6">
        <v>23</v>
      </c>
      <c r="R7" s="6">
        <v>23</v>
      </c>
      <c r="S7" s="6">
        <v>23</v>
      </c>
      <c r="T7" s="6">
        <v>23</v>
      </c>
      <c r="U7" s="7">
        <v>23</v>
      </c>
      <c r="V7" s="2"/>
      <c r="Y7" s="13">
        <f t="shared" si="1"/>
        <v>0</v>
      </c>
      <c r="Z7" s="6">
        <f t="shared" si="2"/>
        <v>0</v>
      </c>
      <c r="AA7" s="6">
        <f t="shared" si="3"/>
        <v>0</v>
      </c>
      <c r="AB7" s="6">
        <f t="shared" si="4"/>
        <v>0</v>
      </c>
      <c r="AC7" s="6">
        <f t="shared" si="5"/>
        <v>0</v>
      </c>
      <c r="AD7" s="6">
        <f t="shared" si="6"/>
        <v>0</v>
      </c>
      <c r="AE7" s="6">
        <f t="shared" si="7"/>
        <v>0</v>
      </c>
      <c r="AF7" s="6">
        <f t="shared" si="8"/>
        <v>0</v>
      </c>
      <c r="AG7" s="6">
        <f t="shared" si="9"/>
        <v>0</v>
      </c>
      <c r="AH7" s="6">
        <f t="shared" si="10"/>
        <v>1</v>
      </c>
      <c r="AI7" s="6">
        <f t="shared" si="11"/>
        <v>1</v>
      </c>
      <c r="AJ7" s="6">
        <f t="shared" si="12"/>
        <v>0</v>
      </c>
      <c r="AK7" s="6">
        <f t="shared" si="13"/>
        <v>0</v>
      </c>
      <c r="AL7" s="6">
        <f t="shared" si="14"/>
        <v>0</v>
      </c>
      <c r="AM7" s="6">
        <f t="shared" si="15"/>
        <v>0</v>
      </c>
      <c r="AN7" s="6">
        <f t="shared" si="16"/>
        <v>0</v>
      </c>
      <c r="AO7" s="6">
        <f t="shared" si="17"/>
        <v>0</v>
      </c>
      <c r="AP7" s="6">
        <f t="shared" si="18"/>
        <v>0</v>
      </c>
      <c r="AQ7" s="6">
        <f t="shared" si="19"/>
        <v>0</v>
      </c>
      <c r="AR7" s="7">
        <f t="shared" si="20"/>
        <v>0</v>
      </c>
    </row>
    <row r="8" spans="1:44" ht="16.8" customHeight="1" x14ac:dyDescent="0.3">
      <c r="A8" s="15">
        <v>7</v>
      </c>
      <c r="B8" s="13">
        <v>23</v>
      </c>
      <c r="C8" s="6">
        <v>23</v>
      </c>
      <c r="D8" s="6">
        <v>23</v>
      </c>
      <c r="E8" s="6">
        <v>23</v>
      </c>
      <c r="F8" s="31">
        <v>23</v>
      </c>
      <c r="G8" s="35">
        <v>23</v>
      </c>
      <c r="H8" s="6">
        <v>-1.1329345246200284</v>
      </c>
      <c r="I8" s="6">
        <v>-10.306856281661023</v>
      </c>
      <c r="J8" s="6">
        <v>-13.407478624684529</v>
      </c>
      <c r="K8" s="6">
        <v>-13.667470892897073</v>
      </c>
      <c r="L8" s="6">
        <v>-13.667470892897073</v>
      </c>
      <c r="M8" s="6">
        <v>-13.407478624684529</v>
      </c>
      <c r="N8" s="6">
        <v>-10.306856281661023</v>
      </c>
      <c r="O8" s="6">
        <v>-1.1329345246200289</v>
      </c>
      <c r="P8" s="31">
        <v>23</v>
      </c>
      <c r="Q8" s="6">
        <v>23</v>
      </c>
      <c r="R8" s="6">
        <v>23</v>
      </c>
      <c r="S8" s="6">
        <v>23</v>
      </c>
      <c r="T8" s="6">
        <v>23</v>
      </c>
      <c r="U8" s="7">
        <v>23</v>
      </c>
      <c r="V8" s="2"/>
      <c r="Y8" s="13">
        <f t="shared" si="1"/>
        <v>0</v>
      </c>
      <c r="Z8" s="6">
        <f t="shared" si="2"/>
        <v>0</v>
      </c>
      <c r="AA8" s="6">
        <f t="shared" si="3"/>
        <v>0</v>
      </c>
      <c r="AB8" s="6">
        <f t="shared" si="4"/>
        <v>0</v>
      </c>
      <c r="AC8" s="6">
        <f t="shared" si="5"/>
        <v>0</v>
      </c>
      <c r="AD8" s="6">
        <f t="shared" si="6"/>
        <v>0</v>
      </c>
      <c r="AE8" s="6">
        <f t="shared" si="7"/>
        <v>1</v>
      </c>
      <c r="AF8" s="6">
        <f t="shared" si="8"/>
        <v>1</v>
      </c>
      <c r="AG8" s="6">
        <f t="shared" si="9"/>
        <v>1</v>
      </c>
      <c r="AH8" s="6">
        <f t="shared" si="10"/>
        <v>1</v>
      </c>
      <c r="AI8" s="6">
        <f t="shared" si="11"/>
        <v>1</v>
      </c>
      <c r="AJ8" s="6">
        <f t="shared" si="12"/>
        <v>1</v>
      </c>
      <c r="AK8" s="6">
        <f t="shared" si="13"/>
        <v>1</v>
      </c>
      <c r="AL8" s="6">
        <f t="shared" si="14"/>
        <v>1</v>
      </c>
      <c r="AM8" s="6">
        <f t="shared" si="15"/>
        <v>0</v>
      </c>
      <c r="AN8" s="6">
        <f t="shared" si="16"/>
        <v>0</v>
      </c>
      <c r="AO8" s="6">
        <f t="shared" si="17"/>
        <v>0</v>
      </c>
      <c r="AP8" s="6">
        <f t="shared" si="18"/>
        <v>0</v>
      </c>
      <c r="AQ8" s="6">
        <f t="shared" si="19"/>
        <v>0</v>
      </c>
      <c r="AR8" s="7">
        <f t="shared" si="20"/>
        <v>0</v>
      </c>
    </row>
    <row r="9" spans="1:44" ht="16.8" customHeight="1" x14ac:dyDescent="0.3">
      <c r="A9" s="15">
        <v>8</v>
      </c>
      <c r="B9" s="13">
        <v>23</v>
      </c>
      <c r="C9" s="6">
        <v>23</v>
      </c>
      <c r="D9" s="6">
        <v>23</v>
      </c>
      <c r="E9" s="6">
        <v>23</v>
      </c>
      <c r="F9" s="31">
        <v>23</v>
      </c>
      <c r="G9" s="35">
        <v>23</v>
      </c>
      <c r="H9" s="6">
        <v>-10.306856281661023</v>
      </c>
      <c r="I9" s="6">
        <v>-16.993502907095696</v>
      </c>
      <c r="J9" s="6">
        <v>-18.271103771275516</v>
      </c>
      <c r="K9" s="6">
        <v>-18.490937241860653</v>
      </c>
      <c r="L9" s="6">
        <v>-18.490937241860653</v>
      </c>
      <c r="M9" s="6">
        <v>-18.271103771275516</v>
      </c>
      <c r="N9" s="6">
        <v>-16.993502907095696</v>
      </c>
      <c r="O9" s="6">
        <v>-10.306856281661023</v>
      </c>
      <c r="P9" s="31">
        <v>23</v>
      </c>
      <c r="Q9" s="6">
        <v>23</v>
      </c>
      <c r="R9" s="6">
        <v>23</v>
      </c>
      <c r="S9" s="6">
        <v>23</v>
      </c>
      <c r="T9" s="6">
        <v>23</v>
      </c>
      <c r="U9" s="7">
        <v>23</v>
      </c>
      <c r="V9" s="2"/>
      <c r="Y9" s="13">
        <f t="shared" si="1"/>
        <v>0</v>
      </c>
      <c r="Z9" s="6">
        <f t="shared" si="2"/>
        <v>0</v>
      </c>
      <c r="AA9" s="6">
        <f t="shared" si="3"/>
        <v>0</v>
      </c>
      <c r="AB9" s="6">
        <f t="shared" si="4"/>
        <v>0</v>
      </c>
      <c r="AC9" s="6">
        <f t="shared" si="5"/>
        <v>0</v>
      </c>
      <c r="AD9" s="6">
        <f t="shared" si="6"/>
        <v>0</v>
      </c>
      <c r="AE9" s="6">
        <f t="shared" si="7"/>
        <v>1</v>
      </c>
      <c r="AF9" s="6">
        <f t="shared" si="8"/>
        <v>1</v>
      </c>
      <c r="AG9" s="6">
        <f t="shared" si="9"/>
        <v>1</v>
      </c>
      <c r="AH9" s="6">
        <f t="shared" si="10"/>
        <v>1</v>
      </c>
      <c r="AI9" s="6">
        <f t="shared" si="11"/>
        <v>1</v>
      </c>
      <c r="AJ9" s="6">
        <f t="shared" si="12"/>
        <v>1</v>
      </c>
      <c r="AK9" s="6">
        <f t="shared" si="13"/>
        <v>1</v>
      </c>
      <c r="AL9" s="6">
        <f t="shared" si="14"/>
        <v>1</v>
      </c>
      <c r="AM9" s="6">
        <f t="shared" si="15"/>
        <v>0</v>
      </c>
      <c r="AN9" s="6">
        <f t="shared" si="16"/>
        <v>0</v>
      </c>
      <c r="AO9" s="6">
        <f t="shared" si="17"/>
        <v>0</v>
      </c>
      <c r="AP9" s="6">
        <f t="shared" si="18"/>
        <v>0</v>
      </c>
      <c r="AQ9" s="6">
        <f t="shared" si="19"/>
        <v>0</v>
      </c>
      <c r="AR9" s="7">
        <f t="shared" si="20"/>
        <v>0</v>
      </c>
    </row>
    <row r="10" spans="1:44" ht="16.8" customHeight="1" x14ac:dyDescent="0.3">
      <c r="A10" s="15">
        <v>9</v>
      </c>
      <c r="B10" s="13">
        <v>23</v>
      </c>
      <c r="C10" s="6">
        <v>23</v>
      </c>
      <c r="D10" s="6">
        <v>23</v>
      </c>
      <c r="E10" s="6">
        <v>23</v>
      </c>
      <c r="F10" s="31">
        <v>23</v>
      </c>
      <c r="G10" s="35">
        <v>1.2000241089148949</v>
      </c>
      <c r="H10" s="6">
        <v>-13.407478624684529</v>
      </c>
      <c r="I10" s="6">
        <v>-18.271103771275516</v>
      </c>
      <c r="J10" s="6">
        <v>-19.483407788264795</v>
      </c>
      <c r="K10" s="6">
        <v>-19.702871441136761</v>
      </c>
      <c r="L10" s="6">
        <v>-19.702871441136761</v>
      </c>
      <c r="M10" s="6">
        <v>-19.483407788264795</v>
      </c>
      <c r="N10" s="6">
        <v>-18.271103771275516</v>
      </c>
      <c r="O10" s="6">
        <v>-13.407478624684529</v>
      </c>
      <c r="P10" s="31">
        <v>1.2000241089148944</v>
      </c>
      <c r="Q10" s="6">
        <v>23</v>
      </c>
      <c r="R10" s="6">
        <v>23</v>
      </c>
      <c r="S10" s="6">
        <v>23</v>
      </c>
      <c r="T10" s="6">
        <v>23</v>
      </c>
      <c r="U10" s="7">
        <v>23</v>
      </c>
      <c r="V10" s="2"/>
      <c r="Y10" s="13">
        <f t="shared" si="1"/>
        <v>0</v>
      </c>
      <c r="Z10" s="6">
        <f t="shared" si="2"/>
        <v>0</v>
      </c>
      <c r="AA10" s="6">
        <f t="shared" si="3"/>
        <v>0</v>
      </c>
      <c r="AB10" s="6">
        <f t="shared" si="4"/>
        <v>0</v>
      </c>
      <c r="AC10" s="6">
        <f t="shared" si="5"/>
        <v>0</v>
      </c>
      <c r="AD10" s="6">
        <f t="shared" si="6"/>
        <v>0</v>
      </c>
      <c r="AE10" s="6">
        <f t="shared" si="7"/>
        <v>1</v>
      </c>
      <c r="AF10" s="6">
        <f t="shared" si="8"/>
        <v>1</v>
      </c>
      <c r="AG10" s="6">
        <f t="shared" si="9"/>
        <v>1</v>
      </c>
      <c r="AH10" s="6">
        <f t="shared" si="10"/>
        <v>1</v>
      </c>
      <c r="AI10" s="6">
        <f t="shared" si="11"/>
        <v>1</v>
      </c>
      <c r="AJ10" s="6">
        <f t="shared" si="12"/>
        <v>1</v>
      </c>
      <c r="AK10" s="6">
        <f t="shared" si="13"/>
        <v>1</v>
      </c>
      <c r="AL10" s="6">
        <f t="shared" si="14"/>
        <v>1</v>
      </c>
      <c r="AM10" s="6">
        <f t="shared" si="15"/>
        <v>0</v>
      </c>
      <c r="AN10" s="6">
        <f t="shared" si="16"/>
        <v>0</v>
      </c>
      <c r="AO10" s="6">
        <f t="shared" si="17"/>
        <v>0</v>
      </c>
      <c r="AP10" s="6">
        <f t="shared" si="18"/>
        <v>0</v>
      </c>
      <c r="AQ10" s="6">
        <f t="shared" si="19"/>
        <v>0</v>
      </c>
      <c r="AR10" s="7">
        <f t="shared" si="20"/>
        <v>0</v>
      </c>
    </row>
    <row r="11" spans="1:44" ht="16.8" customHeight="1" x14ac:dyDescent="0.3">
      <c r="A11" s="15">
        <v>10</v>
      </c>
      <c r="B11" s="13">
        <v>23</v>
      </c>
      <c r="C11" s="6">
        <v>23</v>
      </c>
      <c r="D11" s="6">
        <v>23</v>
      </c>
      <c r="E11" s="6">
        <v>23</v>
      </c>
      <c r="F11" s="31">
        <v>23</v>
      </c>
      <c r="G11" s="35">
        <v>-0.35455333511082987</v>
      </c>
      <c r="H11" s="6">
        <v>-13.667470892897073</v>
      </c>
      <c r="I11" s="6">
        <v>-18.490937241860653</v>
      </c>
      <c r="J11" s="6">
        <v>-19.702871441136761</v>
      </c>
      <c r="K11" s="6">
        <v>-19.92274473168445</v>
      </c>
      <c r="L11" s="6">
        <v>-19.92274473168445</v>
      </c>
      <c r="M11" s="6">
        <v>-19.702871441136761</v>
      </c>
      <c r="N11" s="6">
        <v>-18.490937241860653</v>
      </c>
      <c r="O11" s="6">
        <v>-13.667470892897073</v>
      </c>
      <c r="P11" s="31">
        <v>-0.35455333511082987</v>
      </c>
      <c r="Q11" s="6">
        <v>23</v>
      </c>
      <c r="R11" s="6">
        <v>23</v>
      </c>
      <c r="S11" s="6">
        <v>23</v>
      </c>
      <c r="T11" s="6">
        <v>23</v>
      </c>
      <c r="U11" s="7">
        <v>23</v>
      </c>
      <c r="V11" s="2"/>
      <c r="Y11" s="13">
        <f t="shared" si="1"/>
        <v>0</v>
      </c>
      <c r="Z11" s="6">
        <f t="shared" si="2"/>
        <v>0</v>
      </c>
      <c r="AA11" s="6">
        <f t="shared" si="3"/>
        <v>0</v>
      </c>
      <c r="AB11" s="6">
        <f t="shared" si="4"/>
        <v>0</v>
      </c>
      <c r="AC11" s="6">
        <f t="shared" si="5"/>
        <v>0</v>
      </c>
      <c r="AD11" s="6">
        <f t="shared" si="6"/>
        <v>1</v>
      </c>
      <c r="AE11" s="6">
        <f t="shared" si="7"/>
        <v>1</v>
      </c>
      <c r="AF11" s="6">
        <f t="shared" si="8"/>
        <v>1</v>
      </c>
      <c r="AG11" s="6">
        <f t="shared" si="9"/>
        <v>1</v>
      </c>
      <c r="AH11" s="6">
        <f t="shared" si="10"/>
        <v>1</v>
      </c>
      <c r="AI11" s="6">
        <f t="shared" si="11"/>
        <v>1</v>
      </c>
      <c r="AJ11" s="6">
        <f t="shared" si="12"/>
        <v>1</v>
      </c>
      <c r="AK11" s="6">
        <f t="shared" si="13"/>
        <v>1</v>
      </c>
      <c r="AL11" s="6">
        <f t="shared" si="14"/>
        <v>1</v>
      </c>
      <c r="AM11" s="6">
        <f t="shared" si="15"/>
        <v>1</v>
      </c>
      <c r="AN11" s="6">
        <f t="shared" si="16"/>
        <v>0</v>
      </c>
      <c r="AO11" s="6">
        <f t="shared" si="17"/>
        <v>0</v>
      </c>
      <c r="AP11" s="6">
        <f t="shared" si="18"/>
        <v>0</v>
      </c>
      <c r="AQ11" s="6">
        <f t="shared" si="19"/>
        <v>0</v>
      </c>
      <c r="AR11" s="7">
        <f t="shared" si="20"/>
        <v>0</v>
      </c>
    </row>
    <row r="12" spans="1:44" ht="16.8" customHeight="1" x14ac:dyDescent="0.3">
      <c r="A12" s="15">
        <v>11</v>
      </c>
      <c r="B12" s="13">
        <v>23</v>
      </c>
      <c r="C12" s="6">
        <v>23</v>
      </c>
      <c r="D12" s="6">
        <v>23</v>
      </c>
      <c r="E12" s="6">
        <v>23</v>
      </c>
      <c r="F12" s="31">
        <v>23</v>
      </c>
      <c r="G12" s="35">
        <v>-0.35455333511082987</v>
      </c>
      <c r="H12" s="6">
        <v>-13.667470892897073</v>
      </c>
      <c r="I12" s="6">
        <v>-18.490937241860653</v>
      </c>
      <c r="J12" s="6">
        <v>-19.702871441136761</v>
      </c>
      <c r="K12" s="6">
        <v>-19.92274473168445</v>
      </c>
      <c r="L12" s="6">
        <v>-19.92274473168445</v>
      </c>
      <c r="M12" s="6">
        <v>-19.702871441136761</v>
      </c>
      <c r="N12" s="6">
        <v>-18.490937241860653</v>
      </c>
      <c r="O12" s="6">
        <v>-13.667470892897073</v>
      </c>
      <c r="P12" s="31">
        <v>-0.35455333511083031</v>
      </c>
      <c r="Q12" s="6">
        <v>23</v>
      </c>
      <c r="R12" s="6">
        <v>23</v>
      </c>
      <c r="S12" s="6">
        <v>23</v>
      </c>
      <c r="T12" s="6">
        <v>23</v>
      </c>
      <c r="U12" s="7">
        <v>23</v>
      </c>
      <c r="V12" s="2"/>
      <c r="Y12" s="13">
        <f t="shared" si="1"/>
        <v>0</v>
      </c>
      <c r="Z12" s="6">
        <f t="shared" si="2"/>
        <v>0</v>
      </c>
      <c r="AA12" s="6">
        <f t="shared" si="3"/>
        <v>0</v>
      </c>
      <c r="AB12" s="6">
        <f t="shared" si="4"/>
        <v>0</v>
      </c>
      <c r="AC12" s="6">
        <f t="shared" si="5"/>
        <v>0</v>
      </c>
      <c r="AD12" s="6">
        <f t="shared" si="6"/>
        <v>1</v>
      </c>
      <c r="AE12" s="6">
        <f t="shared" si="7"/>
        <v>1</v>
      </c>
      <c r="AF12" s="6">
        <f t="shared" si="8"/>
        <v>1</v>
      </c>
      <c r="AG12" s="6">
        <f t="shared" si="9"/>
        <v>1</v>
      </c>
      <c r="AH12" s="6">
        <f t="shared" si="10"/>
        <v>1</v>
      </c>
      <c r="AI12" s="6">
        <f t="shared" si="11"/>
        <v>1</v>
      </c>
      <c r="AJ12" s="6">
        <f t="shared" si="12"/>
        <v>1</v>
      </c>
      <c r="AK12" s="6">
        <f t="shared" si="13"/>
        <v>1</v>
      </c>
      <c r="AL12" s="6">
        <f t="shared" si="14"/>
        <v>1</v>
      </c>
      <c r="AM12" s="6">
        <f t="shared" si="15"/>
        <v>1</v>
      </c>
      <c r="AN12" s="6">
        <f t="shared" si="16"/>
        <v>0</v>
      </c>
      <c r="AO12" s="6">
        <f t="shared" si="17"/>
        <v>0</v>
      </c>
      <c r="AP12" s="6">
        <f t="shared" si="18"/>
        <v>0</v>
      </c>
      <c r="AQ12" s="6">
        <f t="shared" si="19"/>
        <v>0</v>
      </c>
      <c r="AR12" s="7">
        <f t="shared" si="20"/>
        <v>0</v>
      </c>
    </row>
    <row r="13" spans="1:44" ht="16.8" customHeight="1" x14ac:dyDescent="0.3">
      <c r="A13" s="15">
        <v>12</v>
      </c>
      <c r="B13" s="13">
        <v>23</v>
      </c>
      <c r="C13" s="6">
        <v>23</v>
      </c>
      <c r="D13" s="6">
        <v>23</v>
      </c>
      <c r="E13" s="6">
        <v>23</v>
      </c>
      <c r="F13" s="31">
        <v>23</v>
      </c>
      <c r="G13" s="35">
        <v>1.2000241089148949</v>
      </c>
      <c r="H13" s="6">
        <v>-13.407478624684529</v>
      </c>
      <c r="I13" s="6">
        <v>-18.271103771275516</v>
      </c>
      <c r="J13" s="6">
        <v>-19.483407788264795</v>
      </c>
      <c r="K13" s="6">
        <v>-19.702871441136761</v>
      </c>
      <c r="L13" s="6">
        <v>-19.702871441136761</v>
      </c>
      <c r="M13" s="6">
        <v>-19.483407788264795</v>
      </c>
      <c r="N13" s="6">
        <v>-18.271103771275516</v>
      </c>
      <c r="O13" s="6">
        <v>-13.407478624684529</v>
      </c>
      <c r="P13" s="31">
        <v>1.200024108914894</v>
      </c>
      <c r="Q13" s="6">
        <v>23</v>
      </c>
      <c r="R13" s="6">
        <v>23</v>
      </c>
      <c r="S13" s="6">
        <v>23</v>
      </c>
      <c r="T13" s="6">
        <v>23</v>
      </c>
      <c r="U13" s="7">
        <v>23</v>
      </c>
      <c r="V13" s="2"/>
      <c r="Y13" s="13">
        <f t="shared" si="1"/>
        <v>0</v>
      </c>
      <c r="Z13" s="6">
        <f t="shared" si="2"/>
        <v>0</v>
      </c>
      <c r="AA13" s="6">
        <f t="shared" si="3"/>
        <v>0</v>
      </c>
      <c r="AB13" s="6">
        <f t="shared" si="4"/>
        <v>0</v>
      </c>
      <c r="AC13" s="6">
        <f t="shared" si="5"/>
        <v>0</v>
      </c>
      <c r="AD13" s="6">
        <f t="shared" si="6"/>
        <v>0</v>
      </c>
      <c r="AE13" s="6">
        <f t="shared" si="7"/>
        <v>1</v>
      </c>
      <c r="AF13" s="6">
        <f t="shared" si="8"/>
        <v>1</v>
      </c>
      <c r="AG13" s="6">
        <f t="shared" si="9"/>
        <v>1</v>
      </c>
      <c r="AH13" s="6">
        <f t="shared" si="10"/>
        <v>1</v>
      </c>
      <c r="AI13" s="6">
        <f t="shared" si="11"/>
        <v>1</v>
      </c>
      <c r="AJ13" s="6">
        <f t="shared" si="12"/>
        <v>1</v>
      </c>
      <c r="AK13" s="6">
        <f t="shared" si="13"/>
        <v>1</v>
      </c>
      <c r="AL13" s="6">
        <f t="shared" si="14"/>
        <v>1</v>
      </c>
      <c r="AM13" s="6">
        <f t="shared" si="15"/>
        <v>0</v>
      </c>
      <c r="AN13" s="6">
        <f t="shared" si="16"/>
        <v>0</v>
      </c>
      <c r="AO13" s="6">
        <f t="shared" si="17"/>
        <v>0</v>
      </c>
      <c r="AP13" s="6">
        <f t="shared" si="18"/>
        <v>0</v>
      </c>
      <c r="AQ13" s="6">
        <f t="shared" si="19"/>
        <v>0</v>
      </c>
      <c r="AR13" s="7">
        <f t="shared" si="20"/>
        <v>0</v>
      </c>
    </row>
    <row r="14" spans="1:44" ht="16.8" customHeight="1" x14ac:dyDescent="0.3">
      <c r="A14" s="15">
        <v>13</v>
      </c>
      <c r="B14" s="13">
        <v>23</v>
      </c>
      <c r="C14" s="6">
        <v>23</v>
      </c>
      <c r="D14" s="6">
        <v>23</v>
      </c>
      <c r="E14" s="6">
        <v>23</v>
      </c>
      <c r="F14" s="31">
        <v>23</v>
      </c>
      <c r="G14" s="35">
        <v>23</v>
      </c>
      <c r="H14" s="6">
        <v>-10.306856281661023</v>
      </c>
      <c r="I14" s="6">
        <v>-16.993502907095696</v>
      </c>
      <c r="J14" s="6">
        <v>-18.271103771275516</v>
      </c>
      <c r="K14" s="6">
        <v>-18.490937241860653</v>
      </c>
      <c r="L14" s="6">
        <v>-18.490937241860653</v>
      </c>
      <c r="M14" s="6">
        <v>-18.271103771275516</v>
      </c>
      <c r="N14" s="6">
        <v>-16.993502907095696</v>
      </c>
      <c r="O14" s="6">
        <v>-10.306856281661023</v>
      </c>
      <c r="P14" s="31">
        <v>23</v>
      </c>
      <c r="Q14" s="6">
        <v>23</v>
      </c>
      <c r="R14" s="6">
        <v>23</v>
      </c>
      <c r="S14" s="6">
        <v>23</v>
      </c>
      <c r="T14" s="6">
        <v>23</v>
      </c>
      <c r="U14" s="7">
        <v>23</v>
      </c>
      <c r="V14" s="2"/>
      <c r="Y14" s="13">
        <f t="shared" si="1"/>
        <v>0</v>
      </c>
      <c r="Z14" s="6">
        <f t="shared" si="2"/>
        <v>0</v>
      </c>
      <c r="AA14" s="6">
        <f t="shared" si="3"/>
        <v>0</v>
      </c>
      <c r="AB14" s="6">
        <f t="shared" si="4"/>
        <v>0</v>
      </c>
      <c r="AC14" s="6">
        <f t="shared" si="5"/>
        <v>0</v>
      </c>
      <c r="AD14" s="6">
        <f t="shared" si="6"/>
        <v>0</v>
      </c>
      <c r="AE14" s="6">
        <f t="shared" si="7"/>
        <v>1</v>
      </c>
      <c r="AF14" s="6">
        <f t="shared" si="8"/>
        <v>1</v>
      </c>
      <c r="AG14" s="6">
        <f t="shared" si="9"/>
        <v>1</v>
      </c>
      <c r="AH14" s="6">
        <f t="shared" si="10"/>
        <v>1</v>
      </c>
      <c r="AI14" s="6">
        <f t="shared" si="11"/>
        <v>1</v>
      </c>
      <c r="AJ14" s="6">
        <f t="shared" si="12"/>
        <v>1</v>
      </c>
      <c r="AK14" s="6">
        <f t="shared" si="13"/>
        <v>1</v>
      </c>
      <c r="AL14" s="6">
        <f t="shared" si="14"/>
        <v>1</v>
      </c>
      <c r="AM14" s="6">
        <f t="shared" si="15"/>
        <v>0</v>
      </c>
      <c r="AN14" s="6">
        <f t="shared" si="16"/>
        <v>0</v>
      </c>
      <c r="AO14" s="6">
        <f t="shared" si="17"/>
        <v>0</v>
      </c>
      <c r="AP14" s="6">
        <f t="shared" si="18"/>
        <v>0</v>
      </c>
      <c r="AQ14" s="6">
        <f t="shared" si="19"/>
        <v>0</v>
      </c>
      <c r="AR14" s="7">
        <f t="shared" si="20"/>
        <v>0</v>
      </c>
    </row>
    <row r="15" spans="1:44" ht="16.8" customHeight="1" x14ac:dyDescent="0.3">
      <c r="A15" s="15">
        <v>14</v>
      </c>
      <c r="B15" s="13">
        <v>23</v>
      </c>
      <c r="C15" s="6">
        <v>23</v>
      </c>
      <c r="D15" s="6">
        <v>23</v>
      </c>
      <c r="E15" s="6">
        <v>23</v>
      </c>
      <c r="F15" s="31">
        <v>23</v>
      </c>
      <c r="G15" s="35">
        <v>23</v>
      </c>
      <c r="H15" s="6">
        <v>-1.1329345246200284</v>
      </c>
      <c r="I15" s="6">
        <v>-10.306856281661023</v>
      </c>
      <c r="J15" s="6">
        <v>-13.407478624684529</v>
      </c>
      <c r="K15" s="6">
        <v>-13.667470892897073</v>
      </c>
      <c r="L15" s="6">
        <v>-13.667470892897073</v>
      </c>
      <c r="M15" s="6">
        <v>-13.407478624684529</v>
      </c>
      <c r="N15" s="6">
        <v>-10.306856281661023</v>
      </c>
      <c r="O15" s="6">
        <v>-1.1329345246200289</v>
      </c>
      <c r="P15" s="31">
        <v>23</v>
      </c>
      <c r="Q15" s="6">
        <v>23</v>
      </c>
      <c r="R15" s="6">
        <v>23</v>
      </c>
      <c r="S15" s="6">
        <v>23</v>
      </c>
      <c r="T15" s="6">
        <v>23</v>
      </c>
      <c r="U15" s="7">
        <v>23</v>
      </c>
      <c r="V15" s="2"/>
      <c r="Y15" s="13">
        <f t="shared" si="1"/>
        <v>0</v>
      </c>
      <c r="Z15" s="6">
        <f t="shared" si="2"/>
        <v>0</v>
      </c>
      <c r="AA15" s="6">
        <f t="shared" si="3"/>
        <v>0</v>
      </c>
      <c r="AB15" s="6">
        <f t="shared" si="4"/>
        <v>0</v>
      </c>
      <c r="AC15" s="6">
        <f t="shared" si="5"/>
        <v>0</v>
      </c>
      <c r="AD15" s="6">
        <f t="shared" si="6"/>
        <v>0</v>
      </c>
      <c r="AE15" s="6">
        <f t="shared" si="7"/>
        <v>1</v>
      </c>
      <c r="AF15" s="6">
        <f t="shared" si="8"/>
        <v>1</v>
      </c>
      <c r="AG15" s="6">
        <f t="shared" si="9"/>
        <v>1</v>
      </c>
      <c r="AH15" s="6">
        <f t="shared" si="10"/>
        <v>1</v>
      </c>
      <c r="AI15" s="6">
        <f t="shared" si="11"/>
        <v>1</v>
      </c>
      <c r="AJ15" s="6">
        <f t="shared" si="12"/>
        <v>1</v>
      </c>
      <c r="AK15" s="6">
        <f t="shared" si="13"/>
        <v>1</v>
      </c>
      <c r="AL15" s="6">
        <f t="shared" si="14"/>
        <v>1</v>
      </c>
      <c r="AM15" s="6">
        <f t="shared" si="15"/>
        <v>0</v>
      </c>
      <c r="AN15" s="6">
        <f t="shared" si="16"/>
        <v>0</v>
      </c>
      <c r="AO15" s="6">
        <f t="shared" si="17"/>
        <v>0</v>
      </c>
      <c r="AP15" s="6">
        <f t="shared" si="18"/>
        <v>0</v>
      </c>
      <c r="AQ15" s="6">
        <f t="shared" si="19"/>
        <v>0</v>
      </c>
      <c r="AR15" s="7">
        <f t="shared" si="20"/>
        <v>0</v>
      </c>
    </row>
    <row r="16" spans="1:44" ht="16.8" customHeight="1" thickBot="1" x14ac:dyDescent="0.35">
      <c r="A16" s="15">
        <v>15</v>
      </c>
      <c r="B16" s="13">
        <v>23</v>
      </c>
      <c r="C16" s="6">
        <v>23</v>
      </c>
      <c r="D16" s="6">
        <v>23</v>
      </c>
      <c r="E16" s="6">
        <v>23</v>
      </c>
      <c r="F16" s="31">
        <v>23</v>
      </c>
      <c r="G16" s="36">
        <v>23</v>
      </c>
      <c r="H16" s="37">
        <v>23</v>
      </c>
      <c r="I16" s="37">
        <v>23</v>
      </c>
      <c r="J16" s="37">
        <v>1.2000241089148944</v>
      </c>
      <c r="K16" s="37">
        <v>-0.35455333511082987</v>
      </c>
      <c r="L16" s="37">
        <v>-0.35455333511082987</v>
      </c>
      <c r="M16" s="37">
        <v>1.2000241089148944</v>
      </c>
      <c r="N16" s="37">
        <v>23</v>
      </c>
      <c r="O16" s="37">
        <v>23</v>
      </c>
      <c r="P16" s="38">
        <v>23</v>
      </c>
      <c r="Q16" s="6">
        <v>23</v>
      </c>
      <c r="R16" s="6">
        <v>23</v>
      </c>
      <c r="S16" s="6">
        <v>23</v>
      </c>
      <c r="T16" s="6">
        <v>23</v>
      </c>
      <c r="U16" s="7">
        <v>23</v>
      </c>
      <c r="V16" s="2"/>
      <c r="Y16" s="13">
        <f t="shared" si="1"/>
        <v>0</v>
      </c>
      <c r="Z16" s="6">
        <f t="shared" si="2"/>
        <v>0</v>
      </c>
      <c r="AA16" s="6">
        <f t="shared" si="3"/>
        <v>0</v>
      </c>
      <c r="AB16" s="6">
        <f t="shared" si="4"/>
        <v>0</v>
      </c>
      <c r="AC16" s="6">
        <f t="shared" si="5"/>
        <v>0</v>
      </c>
      <c r="AD16" s="6">
        <f t="shared" si="6"/>
        <v>0</v>
      </c>
      <c r="AE16" s="6">
        <f t="shared" si="7"/>
        <v>0</v>
      </c>
      <c r="AF16" s="6">
        <f t="shared" si="8"/>
        <v>0</v>
      </c>
      <c r="AG16" s="6">
        <f t="shared" si="9"/>
        <v>0</v>
      </c>
      <c r="AH16" s="6">
        <f t="shared" si="10"/>
        <v>1</v>
      </c>
      <c r="AI16" s="6">
        <f t="shared" si="11"/>
        <v>1</v>
      </c>
      <c r="AJ16" s="6">
        <f t="shared" si="12"/>
        <v>0</v>
      </c>
      <c r="AK16" s="6">
        <f t="shared" si="13"/>
        <v>0</v>
      </c>
      <c r="AL16" s="6">
        <f t="shared" si="14"/>
        <v>0</v>
      </c>
      <c r="AM16" s="6">
        <f t="shared" si="15"/>
        <v>0</v>
      </c>
      <c r="AN16" s="6">
        <f t="shared" si="16"/>
        <v>0</v>
      </c>
      <c r="AO16" s="6">
        <f t="shared" si="17"/>
        <v>0</v>
      </c>
      <c r="AP16" s="6">
        <f t="shared" si="18"/>
        <v>0</v>
      </c>
      <c r="AQ16" s="6">
        <f t="shared" si="19"/>
        <v>0</v>
      </c>
      <c r="AR16" s="7">
        <f t="shared" si="20"/>
        <v>0</v>
      </c>
    </row>
    <row r="17" spans="1:44" ht="16.8" customHeight="1" x14ac:dyDescent="0.3">
      <c r="A17" s="15">
        <v>16</v>
      </c>
      <c r="B17" s="13">
        <v>23</v>
      </c>
      <c r="C17" s="6">
        <v>23</v>
      </c>
      <c r="D17" s="6">
        <v>23</v>
      </c>
      <c r="E17" s="6">
        <v>23</v>
      </c>
      <c r="F17" s="6">
        <v>23</v>
      </c>
      <c r="G17" s="6">
        <v>23</v>
      </c>
      <c r="H17" s="6">
        <v>23</v>
      </c>
      <c r="I17" s="6">
        <v>23</v>
      </c>
      <c r="J17" s="6">
        <v>23</v>
      </c>
      <c r="K17" s="6">
        <v>23</v>
      </c>
      <c r="L17" s="6">
        <v>23</v>
      </c>
      <c r="M17" s="6">
        <v>23</v>
      </c>
      <c r="N17" s="6">
        <v>23</v>
      </c>
      <c r="O17" s="6">
        <v>23</v>
      </c>
      <c r="P17" s="6">
        <v>23</v>
      </c>
      <c r="Q17" s="6">
        <v>23</v>
      </c>
      <c r="R17" s="6">
        <v>23</v>
      </c>
      <c r="S17" s="6">
        <v>23</v>
      </c>
      <c r="T17" s="6">
        <v>23</v>
      </c>
      <c r="U17" s="7">
        <v>23</v>
      </c>
      <c r="V17" s="2"/>
      <c r="Y17" s="13">
        <f t="shared" si="1"/>
        <v>0</v>
      </c>
      <c r="Z17" s="6">
        <f t="shared" si="2"/>
        <v>0</v>
      </c>
      <c r="AA17" s="6">
        <f t="shared" si="3"/>
        <v>0</v>
      </c>
      <c r="AB17" s="6">
        <f t="shared" si="4"/>
        <v>0</v>
      </c>
      <c r="AC17" s="6">
        <f t="shared" si="5"/>
        <v>0</v>
      </c>
      <c r="AD17" s="6">
        <f t="shared" si="6"/>
        <v>0</v>
      </c>
      <c r="AE17" s="6">
        <f t="shared" si="7"/>
        <v>0</v>
      </c>
      <c r="AF17" s="6">
        <f t="shared" si="8"/>
        <v>0</v>
      </c>
      <c r="AG17" s="6">
        <f t="shared" si="9"/>
        <v>0</v>
      </c>
      <c r="AH17" s="6">
        <f t="shared" si="10"/>
        <v>0</v>
      </c>
      <c r="AI17" s="6">
        <f t="shared" si="11"/>
        <v>0</v>
      </c>
      <c r="AJ17" s="6">
        <f t="shared" si="12"/>
        <v>0</v>
      </c>
      <c r="AK17" s="6">
        <f t="shared" si="13"/>
        <v>0</v>
      </c>
      <c r="AL17" s="6">
        <f t="shared" si="14"/>
        <v>0</v>
      </c>
      <c r="AM17" s="6">
        <f t="shared" si="15"/>
        <v>0</v>
      </c>
      <c r="AN17" s="6">
        <f t="shared" si="16"/>
        <v>0</v>
      </c>
      <c r="AO17" s="6">
        <f t="shared" si="17"/>
        <v>0</v>
      </c>
      <c r="AP17" s="6">
        <f t="shared" si="18"/>
        <v>0</v>
      </c>
      <c r="AQ17" s="6">
        <f t="shared" si="19"/>
        <v>0</v>
      </c>
      <c r="AR17" s="7">
        <f t="shared" si="20"/>
        <v>0</v>
      </c>
    </row>
    <row r="18" spans="1:44" ht="16.8" customHeight="1" x14ac:dyDescent="0.3">
      <c r="A18" s="15">
        <v>17</v>
      </c>
      <c r="B18" s="13">
        <v>23</v>
      </c>
      <c r="C18" s="6">
        <v>23</v>
      </c>
      <c r="D18" s="6">
        <v>23</v>
      </c>
      <c r="E18" s="6">
        <v>23</v>
      </c>
      <c r="F18" s="6">
        <v>23</v>
      </c>
      <c r="G18" s="6">
        <v>23</v>
      </c>
      <c r="H18" s="6">
        <v>23</v>
      </c>
      <c r="I18" s="6">
        <v>23</v>
      </c>
      <c r="J18" s="6">
        <v>23</v>
      </c>
      <c r="K18" s="6">
        <v>23</v>
      </c>
      <c r="L18" s="6">
        <v>23</v>
      </c>
      <c r="M18" s="6">
        <v>23</v>
      </c>
      <c r="N18" s="6">
        <v>23</v>
      </c>
      <c r="O18" s="6">
        <v>23</v>
      </c>
      <c r="P18" s="6">
        <v>23</v>
      </c>
      <c r="Q18" s="6">
        <v>23</v>
      </c>
      <c r="R18" s="6">
        <v>23</v>
      </c>
      <c r="S18" s="6">
        <v>23</v>
      </c>
      <c r="T18" s="6">
        <v>23</v>
      </c>
      <c r="U18" s="7">
        <v>23</v>
      </c>
      <c r="V18" s="2"/>
      <c r="Y18" s="13">
        <f t="shared" si="1"/>
        <v>0</v>
      </c>
      <c r="Z18" s="6">
        <f t="shared" si="2"/>
        <v>0</v>
      </c>
      <c r="AA18" s="6">
        <f t="shared" si="3"/>
        <v>0</v>
      </c>
      <c r="AB18" s="6">
        <f t="shared" si="4"/>
        <v>0</v>
      </c>
      <c r="AC18" s="6">
        <f t="shared" si="5"/>
        <v>0</v>
      </c>
      <c r="AD18" s="6">
        <f t="shared" si="6"/>
        <v>0</v>
      </c>
      <c r="AE18" s="6">
        <f t="shared" si="7"/>
        <v>0</v>
      </c>
      <c r="AF18" s="6">
        <f t="shared" si="8"/>
        <v>0</v>
      </c>
      <c r="AG18" s="6">
        <f t="shared" si="9"/>
        <v>0</v>
      </c>
      <c r="AH18" s="6">
        <f t="shared" si="10"/>
        <v>0</v>
      </c>
      <c r="AI18" s="6">
        <f t="shared" si="11"/>
        <v>0</v>
      </c>
      <c r="AJ18" s="6">
        <f t="shared" si="12"/>
        <v>0</v>
      </c>
      <c r="AK18" s="6">
        <f t="shared" si="13"/>
        <v>0</v>
      </c>
      <c r="AL18" s="6">
        <f t="shared" si="14"/>
        <v>0</v>
      </c>
      <c r="AM18" s="6">
        <f t="shared" si="15"/>
        <v>0</v>
      </c>
      <c r="AN18" s="6">
        <f t="shared" si="16"/>
        <v>0</v>
      </c>
      <c r="AO18" s="6">
        <f t="shared" si="17"/>
        <v>0</v>
      </c>
      <c r="AP18" s="6">
        <f t="shared" si="18"/>
        <v>0</v>
      </c>
      <c r="AQ18" s="6">
        <f t="shared" si="19"/>
        <v>0</v>
      </c>
      <c r="AR18" s="7">
        <f t="shared" si="20"/>
        <v>0</v>
      </c>
    </row>
    <row r="19" spans="1:44" ht="16.8" customHeight="1" x14ac:dyDescent="0.3">
      <c r="A19" s="15">
        <v>18</v>
      </c>
      <c r="B19" s="13">
        <v>23</v>
      </c>
      <c r="C19" s="6">
        <v>23</v>
      </c>
      <c r="D19" s="6">
        <v>23</v>
      </c>
      <c r="E19" s="6">
        <v>23</v>
      </c>
      <c r="F19" s="6">
        <v>23</v>
      </c>
      <c r="G19" s="6">
        <v>23</v>
      </c>
      <c r="H19" s="6">
        <v>23</v>
      </c>
      <c r="I19" s="6">
        <v>23</v>
      </c>
      <c r="J19" s="6">
        <v>23</v>
      </c>
      <c r="K19" s="6">
        <v>23</v>
      </c>
      <c r="L19" s="6">
        <v>23</v>
      </c>
      <c r="M19" s="6">
        <v>23</v>
      </c>
      <c r="N19" s="6">
        <v>23</v>
      </c>
      <c r="O19" s="6">
        <v>23</v>
      </c>
      <c r="P19" s="6">
        <v>23</v>
      </c>
      <c r="Q19" s="6">
        <v>23</v>
      </c>
      <c r="R19" s="6">
        <v>23</v>
      </c>
      <c r="S19" s="6">
        <v>23</v>
      </c>
      <c r="T19" s="6">
        <v>23</v>
      </c>
      <c r="U19" s="7">
        <v>23</v>
      </c>
      <c r="V19" s="2"/>
      <c r="Y19" s="13">
        <f t="shared" si="1"/>
        <v>0</v>
      </c>
      <c r="Z19" s="6">
        <f t="shared" si="2"/>
        <v>0</v>
      </c>
      <c r="AA19" s="6">
        <f t="shared" si="3"/>
        <v>0</v>
      </c>
      <c r="AB19" s="6">
        <f t="shared" si="4"/>
        <v>0</v>
      </c>
      <c r="AC19" s="6">
        <f t="shared" si="5"/>
        <v>0</v>
      </c>
      <c r="AD19" s="6">
        <f t="shared" si="6"/>
        <v>0</v>
      </c>
      <c r="AE19" s="6">
        <f t="shared" si="7"/>
        <v>0</v>
      </c>
      <c r="AF19" s="6">
        <f t="shared" si="8"/>
        <v>0</v>
      </c>
      <c r="AG19" s="6">
        <f t="shared" si="9"/>
        <v>0</v>
      </c>
      <c r="AH19" s="6">
        <f t="shared" si="10"/>
        <v>0</v>
      </c>
      <c r="AI19" s="6">
        <f t="shared" si="11"/>
        <v>0</v>
      </c>
      <c r="AJ19" s="6">
        <f t="shared" si="12"/>
        <v>0</v>
      </c>
      <c r="AK19" s="6">
        <f t="shared" si="13"/>
        <v>0</v>
      </c>
      <c r="AL19" s="6">
        <f t="shared" si="14"/>
        <v>0</v>
      </c>
      <c r="AM19" s="6">
        <f t="shared" si="15"/>
        <v>0</v>
      </c>
      <c r="AN19" s="6">
        <f t="shared" si="16"/>
        <v>0</v>
      </c>
      <c r="AO19" s="6">
        <f t="shared" si="17"/>
        <v>0</v>
      </c>
      <c r="AP19" s="6">
        <f t="shared" si="18"/>
        <v>0</v>
      </c>
      <c r="AQ19" s="6">
        <f t="shared" si="19"/>
        <v>0</v>
      </c>
      <c r="AR19" s="7">
        <f t="shared" si="20"/>
        <v>0</v>
      </c>
    </row>
    <row r="20" spans="1:44" ht="16.8" customHeight="1" x14ac:dyDescent="0.3">
      <c r="A20" s="15">
        <v>19</v>
      </c>
      <c r="B20" s="13">
        <v>23</v>
      </c>
      <c r="C20" s="6">
        <v>23</v>
      </c>
      <c r="D20" s="6">
        <v>23</v>
      </c>
      <c r="E20" s="6">
        <v>23</v>
      </c>
      <c r="F20" s="6">
        <v>23</v>
      </c>
      <c r="G20" s="6">
        <v>23</v>
      </c>
      <c r="H20" s="6">
        <v>23</v>
      </c>
      <c r="I20" s="6">
        <v>23</v>
      </c>
      <c r="J20" s="6">
        <v>23</v>
      </c>
      <c r="K20" s="6">
        <v>23</v>
      </c>
      <c r="L20" s="6">
        <v>23</v>
      </c>
      <c r="M20" s="6">
        <v>23</v>
      </c>
      <c r="N20" s="6">
        <v>23</v>
      </c>
      <c r="O20" s="6">
        <v>23</v>
      </c>
      <c r="P20" s="6">
        <v>23</v>
      </c>
      <c r="Q20" s="6">
        <v>23</v>
      </c>
      <c r="R20" s="6">
        <v>23</v>
      </c>
      <c r="S20" s="6">
        <v>23</v>
      </c>
      <c r="T20" s="6">
        <v>23</v>
      </c>
      <c r="U20" s="7">
        <v>23</v>
      </c>
      <c r="V20" s="2"/>
      <c r="Y20" s="13">
        <f t="shared" si="1"/>
        <v>0</v>
      </c>
      <c r="Z20" s="6">
        <f t="shared" si="2"/>
        <v>0</v>
      </c>
      <c r="AA20" s="6">
        <f t="shared" si="3"/>
        <v>0</v>
      </c>
      <c r="AB20" s="6">
        <f t="shared" si="4"/>
        <v>0</v>
      </c>
      <c r="AC20" s="6">
        <f t="shared" si="5"/>
        <v>0</v>
      </c>
      <c r="AD20" s="6">
        <f t="shared" si="6"/>
        <v>0</v>
      </c>
      <c r="AE20" s="6">
        <f t="shared" si="7"/>
        <v>0</v>
      </c>
      <c r="AF20" s="6">
        <f t="shared" si="8"/>
        <v>0</v>
      </c>
      <c r="AG20" s="6">
        <f t="shared" si="9"/>
        <v>0</v>
      </c>
      <c r="AH20" s="6">
        <f t="shared" si="10"/>
        <v>0</v>
      </c>
      <c r="AI20" s="6">
        <f t="shared" si="11"/>
        <v>0</v>
      </c>
      <c r="AJ20" s="6">
        <f t="shared" si="12"/>
        <v>0</v>
      </c>
      <c r="AK20" s="6">
        <f t="shared" si="13"/>
        <v>0</v>
      </c>
      <c r="AL20" s="6">
        <f t="shared" si="14"/>
        <v>0</v>
      </c>
      <c r="AM20" s="6">
        <f t="shared" si="15"/>
        <v>0</v>
      </c>
      <c r="AN20" s="6">
        <f t="shared" si="16"/>
        <v>0</v>
      </c>
      <c r="AO20" s="6">
        <f t="shared" si="17"/>
        <v>0</v>
      </c>
      <c r="AP20" s="6">
        <f t="shared" si="18"/>
        <v>0</v>
      </c>
      <c r="AQ20" s="6">
        <f t="shared" si="19"/>
        <v>0</v>
      </c>
      <c r="AR20" s="7">
        <f t="shared" si="20"/>
        <v>0</v>
      </c>
    </row>
    <row r="21" spans="1:44" ht="16.8" customHeight="1" thickBot="1" x14ac:dyDescent="0.35">
      <c r="A21" s="15">
        <v>20</v>
      </c>
      <c r="B21" s="14">
        <v>23</v>
      </c>
      <c r="C21" s="8">
        <v>23</v>
      </c>
      <c r="D21" s="8">
        <v>23</v>
      </c>
      <c r="E21" s="8">
        <v>23</v>
      </c>
      <c r="F21" s="8">
        <v>23</v>
      </c>
      <c r="G21" s="8">
        <v>23</v>
      </c>
      <c r="H21" s="8">
        <v>23</v>
      </c>
      <c r="I21" s="8">
        <v>23</v>
      </c>
      <c r="J21" s="8">
        <v>23</v>
      </c>
      <c r="K21" s="8">
        <v>23</v>
      </c>
      <c r="L21" s="8">
        <v>23</v>
      </c>
      <c r="M21" s="8">
        <v>23</v>
      </c>
      <c r="N21" s="8">
        <v>23</v>
      </c>
      <c r="O21" s="8">
        <v>23</v>
      </c>
      <c r="P21" s="8">
        <v>23</v>
      </c>
      <c r="Q21" s="8">
        <v>23</v>
      </c>
      <c r="R21" s="8">
        <v>23</v>
      </c>
      <c r="S21" s="8">
        <v>23</v>
      </c>
      <c r="T21" s="8">
        <v>23</v>
      </c>
      <c r="U21" s="9">
        <v>23</v>
      </c>
      <c r="V21" s="2"/>
      <c r="Y21" s="14">
        <f t="shared" si="1"/>
        <v>0</v>
      </c>
      <c r="Z21" s="8">
        <f t="shared" si="2"/>
        <v>0</v>
      </c>
      <c r="AA21" s="8">
        <f t="shared" si="3"/>
        <v>0</v>
      </c>
      <c r="AB21" s="8">
        <f t="shared" si="4"/>
        <v>0</v>
      </c>
      <c r="AC21" s="8">
        <f t="shared" si="5"/>
        <v>0</v>
      </c>
      <c r="AD21" s="8">
        <f t="shared" si="6"/>
        <v>0</v>
      </c>
      <c r="AE21" s="8">
        <f t="shared" si="7"/>
        <v>0</v>
      </c>
      <c r="AF21" s="8">
        <f t="shared" si="8"/>
        <v>0</v>
      </c>
      <c r="AG21" s="8">
        <f t="shared" si="9"/>
        <v>0</v>
      </c>
      <c r="AH21" s="8">
        <f t="shared" si="10"/>
        <v>0</v>
      </c>
      <c r="AI21" s="8">
        <f t="shared" si="11"/>
        <v>0</v>
      </c>
      <c r="AJ21" s="8">
        <f t="shared" si="12"/>
        <v>0</v>
      </c>
      <c r="AK21" s="8">
        <f t="shared" si="13"/>
        <v>0</v>
      </c>
      <c r="AL21" s="8">
        <f t="shared" si="14"/>
        <v>0</v>
      </c>
      <c r="AM21" s="8">
        <f t="shared" si="15"/>
        <v>0</v>
      </c>
      <c r="AN21" s="8">
        <f t="shared" si="16"/>
        <v>0</v>
      </c>
      <c r="AO21" s="8">
        <f t="shared" si="17"/>
        <v>0</v>
      </c>
      <c r="AP21" s="8">
        <f t="shared" si="18"/>
        <v>0</v>
      </c>
      <c r="AQ21" s="8">
        <f t="shared" si="19"/>
        <v>0</v>
      </c>
      <c r="AR21" s="9">
        <f t="shared" si="20"/>
        <v>0</v>
      </c>
    </row>
  </sheetData>
  <conditionalFormatting sqref="B2:V21">
    <cfRule type="colorScale" priority="2">
      <colorScale>
        <cfvo type="num" val="-20"/>
        <cfvo type="num" val="0"/>
        <color theme="4"/>
        <color theme="0"/>
      </colorScale>
    </cfRule>
  </conditionalFormatting>
  <conditionalFormatting sqref="Y2:AR21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Parameters</vt:lpstr>
      <vt:lpstr>Calculator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Ste-Croix</dc:creator>
  <cp:lastModifiedBy>Philippe Ste-Croix</cp:lastModifiedBy>
  <dcterms:created xsi:type="dcterms:W3CDTF">2023-01-21T22:10:36Z</dcterms:created>
  <dcterms:modified xsi:type="dcterms:W3CDTF">2023-01-23T00:35:01Z</dcterms:modified>
</cp:coreProperties>
</file>